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uillermo" sheetId="1" r:id="rId4"/>
    <sheet state="hidden" name="Rene Cortes" sheetId="2" r:id="rId5"/>
    <sheet state="visible" name="Calculo" sheetId="3" r:id="rId6"/>
    <sheet state="hidden" name="Iveth Salasar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ID#AAABwwJsnMk
Ariel     (2025-11-27 03:04:14)
Postee aquí la fecha de Inicio del Empleado</t>
      </text>
    </comment>
    <comment authorId="0" ref="E7">
      <text>
        <t xml:space="preserve">======
ID#AAABwwJsnNc
Ariel     (2025-11-27 03:04:14)
Postee aquí la fecha de Retiro del Empleado</t>
      </text>
    </comment>
    <comment authorId="0" ref="E11">
      <text>
        <t xml:space="preserve">======
ID#AAABwwJsnLI
Ariel    (2025-11-27 03:04:14)
Postee aquí el sueldo base  del Empleado</t>
      </text>
    </comment>
    <comment authorId="0" ref="D16">
      <text>
        <t xml:space="preserve">======
ID#AAABwwJsnLA
Preaviso    (2025-11-27 03:04:14)
De 1 a 89 días = 1 día
De 90 a 179    = 7 días
De 180 a 359  = 14 días
De 360 a 720  = 1 mes por año sin pasar de 2</t>
      </text>
    </comment>
    <comment authorId="0" ref="C17">
      <text>
        <t xml:space="preserve">======
ID#AAABwwJsnLY
Ariel     (2025-11-27 03:04:14)
Este es el total de días laborados en la Empresa por el Empleado en base a 30 días por mes</t>
      </text>
    </comment>
    <comment authorId="0" ref="D18">
      <text>
        <t xml:space="preserve">======
ID#AAABwwJsnOw
Cesantía    (2025-11-27 03:04:14)
De 1 a 89 días = 0 día
De 90 a 179    = 10 días
De 180 a 359  = 20 días
De 1 año en adelante 1 mes por año sin pasar de 15</t>
      </text>
    </comment>
    <comment authorId="0" ref="C20">
      <text>
        <t xml:space="preserve">======
ID#AAABwwJsnNs
Ariel    (2025-11-27 03:04:14)
Postee aquí los días de  vacaciones atrazadas si es que se le deben  al Empleado</t>
      </text>
    </comment>
    <comment authorId="0" ref="A23">
      <text>
        <t xml:space="preserve">======
ID#AAABwwJsnOk
Ariel     (2025-11-27 03:04:14)
Postee aquí la fecha de Inicio del Empleado</t>
      </text>
    </comment>
    <comment authorId="0" ref="B23">
      <text>
        <t xml:space="preserve">======
ID#AAABwwJsnNw
Ariel     (2025-11-27 03:04:14)
Esta es  la fecha de Retiro del Empleado</t>
      </text>
    </comment>
    <comment authorId="0" ref="C23">
      <text>
        <t xml:space="preserve">======
ID#AAABwwJsnO0
Ariel     (2025-11-27 03:04:14)
Estos son los días laborados en el último año</t>
      </text>
    </comment>
    <comment authorId="0" ref="A24">
      <text>
        <t xml:space="preserve">======
ID#AAABwwJsnOo
Ariel    (2025-11-27 03:04:14)
Postee aquí la base de Cuantos días es el derecho a vacaciones del último año:
Primer año        10 Dias
Segundo año    12 Dias
Tercer año         15 Dias
Cuarto y mas   20 Dias</t>
      </text>
    </comment>
    <comment authorId="0" ref="A26">
      <text>
        <t xml:space="preserve">======
ID#AAABwwJsnMA
Ariel     (2025-11-27 03:04:14)
Postee aquí la fecha de Inicio de vacaciones de su nuevo año del Empleado</t>
      </text>
    </comment>
    <comment authorId="0" ref="B26">
      <text>
        <t xml:space="preserve">======
ID#AAABwwJsnO4
Ariel     (2025-11-27 03:04:14)
Postee aquí la fecha de Retiro del Empleado</t>
      </text>
    </comment>
    <comment authorId="0" ref="C26">
      <text>
        <t xml:space="preserve">======
ID#AAABwwJsnN4
Ariel     (2025-11-27 03:04:14)
Estos son los días laborados con derecho al décimo cuarto mes</t>
      </text>
    </comment>
    <comment authorId="0" ref="A29">
      <text>
        <t xml:space="preserve">======
ID#AAABwwJsnPM
Ariel     (2025-11-27 03:04:14)
Postee aquí la fecha de Inicio del Empleado</t>
      </text>
    </comment>
    <comment authorId="0" ref="B29">
      <text>
        <t xml:space="preserve">======
ID#AAABwwJsnLw
Ariel     (2025-11-27 03:04:14)
Esta es  la fecha de Retiro del Empleado</t>
      </text>
    </comment>
    <comment authorId="0" ref="C29">
      <text>
        <t xml:space="preserve">======
ID#AAABwwJsnL4
Ariel     (2025-11-27 03:04:14)
Estos son los días laborados con derecho al décimo cuarto mes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ID#AAABwwJsnNU
Ariel     (2025-11-27 03:04:14)
Postee aquí la fecha de Inicio del Empleado</t>
      </text>
    </comment>
    <comment authorId="0" ref="E7">
      <text>
        <t xml:space="preserve">======
ID#AAABwwJsnNk
Ariel     (2025-11-27 03:04:14)
Postee aquí la fecha de Retiro del Empleado</t>
      </text>
    </comment>
    <comment authorId="0" ref="E11">
      <text>
        <t xml:space="preserve">======
ID#AAABwwJsnMc
Ariel    (2025-11-27 03:04:14)
Postee aquí el sueldo base  del Empleado</t>
      </text>
    </comment>
    <comment authorId="0" ref="D16">
      <text>
        <t xml:space="preserve">======
ID#AAABwwJsnLc
Preaviso    (2025-11-27 03:04:14)
De 1 a 89 días = 1 día
De 90 a 179    = 7 días
De 180 a 359  = 14 días
De 360 a 720  = 1 mes por año sin pasar de 2</t>
      </text>
    </comment>
    <comment authorId="0" ref="C17">
      <text>
        <t xml:space="preserve">======
ID#AAABwwJsnNY
Ariel     (2025-11-27 03:04:14)
Este es el total de días laborados en la Empresa por el Empleado en base a 30 días por mes</t>
      </text>
    </comment>
    <comment authorId="0" ref="D18">
      <text>
        <t xml:space="preserve">======
ID#AAABwwJsnOs
Cesantía    (2025-11-27 03:04:14)
De 1 a 89 días = 0 día
De 90 a 179    = 10 días
De 180 a 359  = 20 días
De 1 año en adelante 1 mes por año sin pasar de 15</t>
      </text>
    </comment>
    <comment authorId="0" ref="C20">
      <text>
        <t xml:space="preserve">======
ID#AAABwwJsnMg
Ariel    (2025-11-27 03:04:14)
Postee aquí los días de  vacaciones atrazadas si es que se le deben  al Empleado</t>
      </text>
    </comment>
    <comment authorId="0" ref="A23">
      <text>
        <t xml:space="preserve">======
ID#AAABwwJsnLQ
Ariel     (2025-11-27 03:04:14)
Postee aquí la fecha de Inicio del Empleado</t>
      </text>
    </comment>
    <comment authorId="0" ref="B23">
      <text>
        <t xml:space="preserve">======
ID#AAABwwJsnMs
Ariel     (2025-11-27 03:04:14)
Esta es  la fecha de Retiro del Empleado</t>
      </text>
    </comment>
    <comment authorId="0" ref="C23">
      <text>
        <t xml:space="preserve">======
ID#AAABwwJsnLs
Ariel     (2025-11-27 03:04:14)
Estos son los días laborados en el último año</t>
      </text>
    </comment>
    <comment authorId="0" ref="A24">
      <text>
        <t xml:space="preserve">======
ID#AAABwwJsnLk
Ariel    (2025-11-27 03:04:14)
Postee aquí la base de Cuantos días es el derecho a vacaciones del último año:
Primer año        10 Dias
Segundo año    12 Dias
Tercer año         15 Dias
Cuarto y mas   20 Dias</t>
      </text>
    </comment>
    <comment authorId="0" ref="A26">
      <text>
        <t xml:space="preserve">======
ID#AAABwwJsnOc
Ariel     (2025-11-27 03:04:14)
Postee aquí la fecha de Inicio de vacaciones de su nuevo año del Empleado</t>
      </text>
    </comment>
    <comment authorId="0" ref="B26">
      <text>
        <t xml:space="preserve">======
ID#AAABwwJsnMI
Ariel     (2025-11-27 03:04:14)
Postee aquí la fecha de Retiro del Empleado</t>
      </text>
    </comment>
    <comment authorId="0" ref="C26">
      <text>
        <t xml:space="preserve">======
ID#AAABwwJsnL8
Ariel     (2025-11-27 03:04:14)
Estos son los días laborados con derecho al décimo cuarto mes</t>
      </text>
    </comment>
    <comment authorId="0" ref="A29">
      <text>
        <t xml:space="preserve">======
ID#AAABwwJsnL0
Ariel     (2025-11-27 03:04:14)
Postee aquí la fecha de Inicio del Empleado</t>
      </text>
    </comment>
    <comment authorId="0" ref="B29">
      <text>
        <t xml:space="preserve">======
ID#AAABwwJsnNE
Ariel     (2025-11-27 03:04:14)
Esta es  la fecha de Retiro del Empleado</t>
      </text>
    </comment>
    <comment authorId="0" ref="C29">
      <text>
        <t xml:space="preserve">======
ID#AAABwwJsnNI
Ariel     (2025-11-27 03:04:14)
Estos son los días laborados con derecho al décimo cuarto mes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ID#AAABwwJsnNA
Skarleth    (2025-11-27 03:04:14)
Postee aquí la fecha de Inicio del Empleado</t>
      </text>
    </comment>
    <comment authorId="0" ref="E7">
      <text>
        <t xml:space="preserve">======
ID#AAABwwJsnLg
Skarleth    (2025-11-27 03:04:14)
Postee aquí la fecha de Retiro del Empleado</t>
      </text>
    </comment>
    <comment authorId="0" ref="E11">
      <text>
        <t xml:space="preserve">======
ID#AAABwwJsnOM
Skarleth    (2025-11-27 03:04:14)
Postee aquí el sueldo base  del Empleado</t>
      </text>
    </comment>
    <comment authorId="0" ref="D16">
      <text>
        <t xml:space="preserve">======
ID#AAABwwJsnOI
Preaviso    (2025-11-27 03:04:14)
De 1 a 89 días = 1 día
De 90 a 179    = 7 días
De 180 a 359  = 14 días
De 360 a 720  = 1 mes por año sin pasar de 2</t>
      </text>
    </comment>
    <comment authorId="0" ref="C17">
      <text>
        <t xml:space="preserve">======
ID#AAABwwJsnOY
Skarleth    (2025-11-27 03:04:14)
Este es el total de días laborados en la Empresa por el Empleado en base a 30 días por mes</t>
      </text>
    </comment>
    <comment authorId="0" ref="D18">
      <text>
        <t xml:space="preserve">======
ID#AAABwwJsnOA
Cesantía    (2025-11-27 03:04:14)
De 1 a 89 días = 0 día
De 90 a 179    = 10 días
De 180 a 359  = 20 días
De 1 año en adelante 1 mes por año sin pasar de 15</t>
      </text>
    </comment>
    <comment authorId="0" ref="C22">
      <text>
        <t xml:space="preserve">======
ID#AAABwwJsnOQ
Skarleth    (2025-11-27 03:04:14)
Postee aquí los días de  vacaciones atrazadas si es que se le deben  al Empleado</t>
      </text>
    </comment>
    <comment authorId="0" ref="A25">
      <text>
        <t xml:space="preserve">======
ID#AAABwwJsnPI
Skarleth    (2025-11-27 03:04:14)
Postee aquí la fecha de último aniversario del Empleado</t>
      </text>
    </comment>
    <comment authorId="0" ref="B25">
      <text>
        <t xml:space="preserve">======
ID#AAABwwJsnNg
Skarleth    (2025-11-27 03:04:14)
Esta es  la fecha de Retiro del Empleado</t>
      </text>
    </comment>
    <comment authorId="0" ref="C25">
      <text>
        <t xml:space="preserve">======
ID#AAABwwJsnLo
Skarleth    (2025-11-27 03:04:14)
Estos son los días laborados en el último año</t>
      </text>
    </comment>
    <comment authorId="0" ref="A26">
      <text>
        <t xml:space="preserve">======
ID#AAABwwJsnMU
Skarleth    (2025-11-27 03:04:14)
Postee aquí la base de Cuantos días es el derecho a vacaciones del último año:
Primer año        10 Dias
Segundo año    12 Dias
Tercer año         15 Dias
Cuarto y mas   20 Dias</t>
      </text>
    </comment>
    <comment authorId="0" ref="A28">
      <text>
        <t xml:space="preserve">======
ID#AAABwwJsnM0
Skarleth    (2025-11-27 03:04:14)
Postee aquí la fecha desde el 01 de enero del 20xx</t>
      </text>
    </comment>
    <comment authorId="0" ref="B28">
      <text>
        <t xml:space="preserve">======
ID#AAABwwJsnME
Skarleth    (2025-11-27 03:04:14)
Postee aquí la fecha de Retiro del Empleado</t>
      </text>
    </comment>
    <comment authorId="0" ref="C28">
      <text>
        <t xml:space="preserve">======
ID#AAABwwJsnMY
Skarleth    (2025-11-27 03:04:14)
Estos son los días laborados con derecho al décimo cuarto mes</t>
      </text>
    </comment>
    <comment authorId="0" ref="A31">
      <text>
        <t xml:space="preserve">======
ID#AAABwwJsnM4
Skarleth    (2025-11-27 03:04:14)
Postee aquí desde Jul 20xx</t>
      </text>
    </comment>
    <comment authorId="0" ref="B31">
      <text>
        <t xml:space="preserve">======
ID#AAABwwJsnOg
Skarleth    (2025-11-27 03:04:14)
Esta es  la fecha de Retiro del Empleado</t>
      </text>
    </comment>
    <comment authorId="0" ref="C31">
      <text>
        <t xml:space="preserve">======
ID#AAABwwJsnLU
Skarleth    (2025-11-27 03:04:14)
Estos son los días laborados con derecho al décimo cuarto mes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ID#AAABwwJsnM8
Ariel     (2025-11-27 03:04:14)
Postee aquí la fecha de Inicio del Empleado</t>
      </text>
    </comment>
    <comment authorId="0" ref="E7">
      <text>
        <t xml:space="preserve">======
ID#AAABwwJsnMM
Ariel     (2025-11-27 03:04:14)
Postee aquí la fecha de Retiro del Empleado</t>
      </text>
    </comment>
    <comment authorId="0" ref="E11">
      <text>
        <t xml:space="preserve">======
ID#AAABwwJsnMQ
Ariel    (2025-11-27 03:04:14)
Postee aquí el sueldo base  del Empleado</t>
      </text>
    </comment>
    <comment authorId="0" ref="D16">
      <text>
        <t xml:space="preserve">======
ID#AAABwwJsnNM
Preaviso    (2025-11-27 03:04:14)
De 1 a 89 días = 1 día
De 90 a 179    = 7 días
De 180 a 359  = 14 días
De 360 a 720  = 1 mes por año sin pasar de 2</t>
      </text>
    </comment>
    <comment authorId="0" ref="C17">
      <text>
        <t xml:space="preserve">======
ID#AAABwwJsnPA
Ariel     (2025-11-27 03:04:14)
Este es el total de días laborados en la Empresa por el Empleado en base a 30 días por mes</t>
      </text>
    </comment>
    <comment authorId="0" ref="D18">
      <text>
        <t xml:space="preserve">======
ID#AAABwwJsnN8
Cesantía    (2025-11-27 03:04:14)
De 1 a 89 días = 0 día
De 90 a 179    = 10 días
De 180 a 359  = 20 días
De 1 año en adelante 1 mes por año sin pasar de 15</t>
      </text>
    </comment>
    <comment authorId="0" ref="C20">
      <text>
        <t xml:space="preserve">======
ID#AAABwwJsnNQ
Ariel    (2025-11-27 03:04:14)
Postee aquí los días de  vacaciones atrazadas si es que se le deben  al Empleado</t>
      </text>
    </comment>
    <comment authorId="0" ref="A23">
      <text>
        <t xml:space="preserve">======
ID#AAABwwJsnO8
Ariel     (2025-11-27 03:04:14)
Postee aquí la fecha de Inicio del Empleado</t>
      </text>
    </comment>
    <comment authorId="0" ref="B23">
      <text>
        <t xml:space="preserve">======
ID#AAABwwJsnLE
Ariel     (2025-11-27 03:04:14)
Esta es  la fecha de Retiro del Empleado</t>
      </text>
    </comment>
    <comment authorId="0" ref="C23">
      <text>
        <t xml:space="preserve">======
ID#AAABwwJsnN0
Ariel     (2025-11-27 03:04:14)
Estos son los días laborados en el último año</t>
      </text>
    </comment>
    <comment authorId="0" ref="A24">
      <text>
        <t xml:space="preserve">======
ID#AAABwwJsnOU
Ariel    (2025-11-27 03:04:14)
Postee aquí la base de Cuantos días es el derecho a vacaciones del último año:
Primer año        10 Dias
Segundo año    12 Dias
Tercer año         15 Dias
Cuarto y mas   20 Dias</t>
      </text>
    </comment>
    <comment authorId="0" ref="A26">
      <text>
        <t xml:space="preserve">======
ID#AAABwwJsnOE
Ariel     (2025-11-27 03:04:14)
Postee aquí la fecha de Inicio de vacaciones de su nuevo año del Empleado</t>
      </text>
    </comment>
    <comment authorId="0" ref="B26">
      <text>
        <t xml:space="preserve">======
ID#AAABwwJsnMw
Ariel     (2025-11-27 03:04:14)
Postee aquí la fecha de Retiro del Empleado</t>
      </text>
    </comment>
    <comment authorId="0" ref="C26">
      <text>
        <t xml:space="preserve">======
ID#AAABwwJsnPE
Ariel     (2025-11-27 03:04:14)
Estos son los días laborados con derecho al décimo cuarto mes</t>
      </text>
    </comment>
    <comment authorId="0" ref="A29">
      <text>
        <t xml:space="preserve">======
ID#AAABwwJsnLM
Ariel     (2025-11-27 03:04:14)
Postee aquí la fecha de Inicio del Empleado</t>
      </text>
    </comment>
    <comment authorId="0" ref="B29">
      <text>
        <t xml:space="preserve">======
ID#AAABwwJsnMo
Ariel     (2025-11-27 03:04:14)
Esta es  la fecha de Retiro del Empleado</t>
      </text>
    </comment>
    <comment authorId="0" ref="C29">
      <text>
        <t xml:space="preserve">======
ID#AAABwwJsnNo
Ariel     (2025-11-27 03:04:14)
Estos son los días laborados con derecho al décimo cuarto mes</t>
      </text>
    </comment>
  </commentList>
</comments>
</file>

<file path=xl/sharedStrings.xml><?xml version="1.0" encoding="utf-8"?>
<sst xmlns="http://schemas.openxmlformats.org/spreadsheetml/2006/main" count="328" uniqueCount="76">
  <si>
    <t>CALCULO DE PRESTACIONES LABORALES</t>
  </si>
  <si>
    <t xml:space="preserve">Orden </t>
  </si>
  <si>
    <t xml:space="preserve">EMPLEADO </t>
  </si>
  <si>
    <t>Oscar Jose Rivera Villeda</t>
  </si>
  <si>
    <t>No Empleado</t>
  </si>
  <si>
    <t>FECHA DE INGRESO</t>
  </si>
  <si>
    <t>Despido</t>
  </si>
  <si>
    <t>FECHA DE RETIRO</t>
  </si>
  <si>
    <t>ANTIGÜEDAD</t>
  </si>
  <si>
    <t>AÑOS</t>
  </si>
  <si>
    <t>MESES</t>
  </si>
  <si>
    <t>DIAS</t>
  </si>
  <si>
    <t>Base</t>
  </si>
  <si>
    <t>Base Mens</t>
  </si>
  <si>
    <t>Base Prom Mens</t>
  </si>
  <si>
    <t>Prom. Mens</t>
  </si>
  <si>
    <t>SUELDO MENSUAL ORDINARIO</t>
  </si>
  <si>
    <t>Lps</t>
  </si>
  <si>
    <t xml:space="preserve"> </t>
  </si>
  <si>
    <t>Promedio</t>
  </si>
  <si>
    <t>TOTAL</t>
  </si>
  <si>
    <t>Prom. Dia</t>
  </si>
  <si>
    <t>SUELDO MENSUAL PROMEDIO</t>
  </si>
  <si>
    <t>CALCULO</t>
  </si>
  <si>
    <t>PREAVISO</t>
  </si>
  <si>
    <t>Días</t>
  </si>
  <si>
    <t>x</t>
  </si>
  <si>
    <t>&gt;</t>
  </si>
  <si>
    <t>AUXILIO DE CESANTIA</t>
  </si>
  <si>
    <t xml:space="preserve">VACACIONES </t>
  </si>
  <si>
    <t>VACACIONES PROPORCIONALES</t>
  </si>
  <si>
    <t>DECIMO TERCER MES</t>
  </si>
  <si>
    <t>DECIMO CUARTO MES</t>
  </si>
  <si>
    <t>92 dias de decimo cuarto ya pagados</t>
  </si>
  <si>
    <t>PRESTACIONES</t>
  </si>
  <si>
    <t>A FAVOR</t>
  </si>
  <si>
    <t>Pago I Q de Septiembre 2017</t>
  </si>
  <si>
    <t>DEDUCCIONES</t>
  </si>
  <si>
    <t>Impuesto vecinal 2017</t>
  </si>
  <si>
    <t>Pestamo Cinepolis</t>
  </si>
  <si>
    <t>I.H.S.S.</t>
  </si>
  <si>
    <t>Preaviso</t>
  </si>
  <si>
    <t>RAP</t>
  </si>
  <si>
    <t>Reseva Laboral</t>
  </si>
  <si>
    <t>RL-2017</t>
  </si>
  <si>
    <t>2 MESES de cotizar Junio y Julio</t>
  </si>
  <si>
    <t>Vacaciones Gozadas</t>
  </si>
  <si>
    <t>RESUMEN</t>
  </si>
  <si>
    <t xml:space="preserve">PRESTACIONES AL </t>
  </si>
  <si>
    <t>SALARIO MENSUAL:</t>
  </si>
  <si>
    <t>INGRESOS ADICIONALES (Horas Extras):</t>
  </si>
  <si>
    <t>Marzo</t>
  </si>
  <si>
    <t>Abril</t>
  </si>
  <si>
    <t>Mayo</t>
  </si>
  <si>
    <t>Junio</t>
  </si>
  <si>
    <t>Julio</t>
  </si>
  <si>
    <t>Agosto</t>
  </si>
  <si>
    <t>Septiembre</t>
  </si>
  <si>
    <t>Suman</t>
  </si>
  <si>
    <t>ELABORADO POR:</t>
  </si>
  <si>
    <t>REVISADO POR :</t>
  </si>
  <si>
    <t>RECIBE</t>
  </si>
  <si>
    <t>JUAN PEREZ</t>
  </si>
  <si>
    <t>No. Identidad</t>
  </si>
  <si>
    <t>Motivo</t>
  </si>
  <si>
    <t>Renuncia inmediata</t>
  </si>
  <si>
    <t>Artículo 119. El término del preaviso empezará a contar desde el día siguiente al
de la notificación respectiva.</t>
  </si>
  <si>
    <t>AUXILIO DE CESANTIA PROPORCIONAL</t>
  </si>
  <si>
    <t>N/A</t>
  </si>
  <si>
    <t>Impuesto vecinal 2023</t>
  </si>
  <si>
    <t>Penalización 30 días de salario por incumplimiento de preaviso</t>
  </si>
  <si>
    <t xml:space="preserve">Artículo 118. El trabajador culpable de no haber dado el preaviso o de haberlo
dado sin ajustarse a los requisitos legales, quedará obligado a pagar al patrono 
una cantidad equivalente a la mitad del salario que corresponda al término del
preaviso.
En caso de que el patrono sea el culpable quedará obligado a pagar al trabajador
una cantidad equivalente a su salario durante el término del preaviso. </t>
  </si>
  <si>
    <t>Iveth Alejandra Salasar Gonzales</t>
  </si>
  <si>
    <t>Pago II Q de Septiembre 2017</t>
  </si>
  <si>
    <t>RL-2016</t>
  </si>
  <si>
    <t>Febrero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</si>
</sst>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\-mmm\-yyyy"/>
    <numFmt numFmtId="165" formatCode="&quot;L.&quot;\ #,##0.00"/>
    <numFmt numFmtId="166" formatCode="_ * #,##0.00_ ;_ * \-#,##0.00_ ;_ * &quot;-&quot;??_ ;_ @_ "/>
    <numFmt numFmtId="167" formatCode="_(* #,##0.00_);_(* \(#,##0.00\);_(* &quot;-&quot;??_);_(@_)"/>
    <numFmt numFmtId="168" formatCode="_ &quot;L&quot;\ * #,##0.00_ ;_ &quot;L&quot;\ * \-#,##0.00_ ;_ &quot;L&quot;\ * &quot;-&quot;??_ ;_ @_ "/>
    <numFmt numFmtId="169" formatCode="&quot;L&quot;\ #,##0.00"/>
  </numFmts>
  <fonts count="29">
    <font>
      <sz val="11.0"/>
      <color theme="1"/>
      <name val="Calibri"/>
      <scheme val="minor"/>
    </font>
    <font>
      <b/>
      <i/>
      <u/>
      <sz val="14.0"/>
      <color theme="1"/>
      <name val="Times New Roman"/>
    </font>
    <font/>
    <font>
      <sz val="11.0"/>
      <color theme="1"/>
      <name val="Calibri"/>
    </font>
    <font>
      <u/>
      <sz val="14.0"/>
      <color theme="1"/>
      <name val="Times New Roman"/>
    </font>
    <font>
      <sz val="14.0"/>
      <color theme="1"/>
      <name val="Times New Roman"/>
    </font>
    <font>
      <b/>
      <sz val="14.0"/>
      <color theme="1"/>
      <name val="Times New Roman"/>
    </font>
    <font>
      <sz val="10.0"/>
      <color theme="1"/>
      <name val="Arial"/>
    </font>
    <font>
      <b/>
      <sz val="16.0"/>
      <color theme="1"/>
      <name val="Arial"/>
    </font>
    <font>
      <b/>
      <u/>
      <sz val="16.0"/>
      <color theme="1"/>
      <name val="Times New Roman"/>
    </font>
    <font>
      <b/>
      <u/>
      <sz val="16.0"/>
      <color theme="1"/>
      <name val="Times New Roman"/>
    </font>
    <font>
      <b/>
      <u/>
      <sz val="16.0"/>
      <color theme="1"/>
      <name val="Times New Roman"/>
    </font>
    <font>
      <b/>
      <u/>
      <sz val="14.0"/>
      <color theme="1"/>
      <name val="Times New Roman"/>
    </font>
    <font>
      <b/>
      <u/>
      <sz val="14.0"/>
      <color theme="1"/>
      <name val="Times New Roman"/>
    </font>
    <font>
      <u/>
      <sz val="14.0"/>
      <color theme="1"/>
      <name val="Times New Roman"/>
    </font>
    <font>
      <b/>
      <sz val="10.0"/>
      <color theme="1"/>
      <name val="Arial"/>
    </font>
    <font>
      <sz val="14.0"/>
      <color theme="1"/>
      <name val="Arial"/>
    </font>
    <font>
      <sz val="11.0"/>
      <color theme="0"/>
      <name val="Calibri"/>
    </font>
    <font>
      <sz val="8.0"/>
      <color theme="1"/>
      <name val="Calibri"/>
    </font>
    <font>
      <sz val="10.0"/>
      <color theme="1"/>
      <name val="Calibri"/>
    </font>
    <font>
      <sz val="11.0"/>
      <color theme="1"/>
      <name val="Arial"/>
    </font>
    <font>
      <b/>
      <i/>
      <u/>
      <sz val="14.0"/>
      <color theme="1"/>
      <name val="Times New Roman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Times New Roman"/>
    </font>
    <font>
      <b/>
      <i/>
      <sz val="12.0"/>
      <color theme="1"/>
      <name val="Times New Roman"/>
    </font>
    <font>
      <b/>
      <sz val="11.0"/>
      <color theme="1"/>
      <name val="Times New Roman"/>
    </font>
    <font>
      <b/>
      <sz val="12.0"/>
      <color theme="1"/>
      <name val="Times New Roman"/>
    </font>
    <font>
      <b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</fills>
  <borders count="32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2" fontId="3" numFmtId="0" xfId="0" applyBorder="1" applyFont="1"/>
    <xf borderId="3" fillId="2" fontId="4" numFmtId="0" xfId="0" applyAlignment="1" applyBorder="1" applyFont="1">
      <alignment horizontal="center"/>
    </xf>
    <xf borderId="3" fillId="2" fontId="5" numFmtId="0" xfId="0" applyAlignment="1" applyBorder="1" applyFont="1">
      <alignment horizontal="center"/>
    </xf>
    <xf borderId="3" fillId="2" fontId="5" numFmtId="0" xfId="0" applyAlignment="1" applyBorder="1" applyFont="1">
      <alignment horizontal="right"/>
    </xf>
    <xf borderId="3" fillId="2" fontId="5" numFmtId="0" xfId="0" applyAlignment="1" applyBorder="1" applyFont="1">
      <alignment horizontal="center" vertical="center"/>
    </xf>
    <xf borderId="3" fillId="2" fontId="5" numFmtId="0" xfId="0" applyBorder="1" applyFont="1"/>
    <xf borderId="3" fillId="2" fontId="6" numFmtId="0" xfId="0" applyAlignment="1" applyBorder="1" applyFont="1">
      <alignment horizontal="left"/>
    </xf>
    <xf borderId="3" fillId="2" fontId="5" numFmtId="0" xfId="0" applyAlignment="1" applyBorder="1" applyFont="1">
      <alignment horizontal="left"/>
    </xf>
    <xf borderId="3" fillId="2" fontId="6" numFmtId="0" xfId="0" applyAlignment="1" applyBorder="1" applyFont="1">
      <alignment horizontal="center"/>
    </xf>
    <xf borderId="4" fillId="2" fontId="5" numFmtId="164" xfId="0" applyBorder="1" applyFont="1" applyNumberFormat="1"/>
    <xf borderId="3" fillId="2" fontId="5" numFmtId="164" xfId="0" applyBorder="1" applyFont="1" applyNumberFormat="1"/>
    <xf borderId="3" fillId="2" fontId="5" numFmtId="3" xfId="0" applyBorder="1" applyFont="1" applyNumberFormat="1"/>
    <xf borderId="5" fillId="2" fontId="5" numFmtId="0" xfId="0" applyBorder="1" applyFont="1"/>
    <xf borderId="6" fillId="2" fontId="5" numFmtId="0" xfId="0" applyBorder="1" applyFont="1"/>
    <xf borderId="6" fillId="2" fontId="5" numFmtId="3" xfId="0" applyBorder="1" applyFont="1" applyNumberFormat="1"/>
    <xf borderId="7" fillId="2" fontId="5" numFmtId="0" xfId="0" applyBorder="1" applyFont="1"/>
    <xf borderId="8" fillId="2" fontId="5" numFmtId="0" xfId="0" applyBorder="1" applyFont="1"/>
    <xf borderId="9" fillId="2" fontId="5" numFmtId="0" xfId="0" applyAlignment="1" applyBorder="1" applyFont="1">
      <alignment horizontal="center"/>
    </xf>
    <xf borderId="3" fillId="2" fontId="7" numFmtId="0" xfId="0" applyBorder="1" applyFont="1"/>
    <xf borderId="10" fillId="2" fontId="5" numFmtId="0" xfId="0" applyAlignment="1" applyBorder="1" applyFont="1">
      <alignment horizontal="center"/>
    </xf>
    <xf borderId="11" fillId="2" fontId="5" numFmtId="0" xfId="0" applyAlignment="1" applyBorder="1" applyFont="1">
      <alignment horizontal="left"/>
    </xf>
    <xf borderId="12" fillId="2" fontId="5" numFmtId="0" xfId="0" applyAlignment="1" applyBorder="1" applyFont="1">
      <alignment horizontal="center"/>
    </xf>
    <xf borderId="13" fillId="2" fontId="5" numFmtId="0" xfId="0" applyBorder="1" applyFont="1"/>
    <xf borderId="14" fillId="2" fontId="5" numFmtId="165" xfId="0" applyBorder="1" applyFont="1" applyNumberFormat="1"/>
    <xf borderId="3" fillId="2" fontId="8" numFmtId="165" xfId="0" applyAlignment="1" applyBorder="1" applyFont="1" applyNumberFormat="1">
      <alignment horizontal="center"/>
    </xf>
    <xf borderId="15" fillId="2" fontId="5" numFmtId="165" xfId="0" applyBorder="1" applyFont="1" applyNumberFormat="1"/>
    <xf borderId="16" fillId="2" fontId="5" numFmtId="165" xfId="0" applyBorder="1" applyFont="1" applyNumberFormat="1"/>
    <xf borderId="17" fillId="2" fontId="5" numFmtId="165" xfId="0" applyBorder="1" applyFont="1" applyNumberFormat="1"/>
    <xf borderId="18" fillId="2" fontId="5" numFmtId="0" xfId="0" applyBorder="1" applyFont="1"/>
    <xf borderId="19" fillId="2" fontId="5" numFmtId="165" xfId="0" applyAlignment="1" applyBorder="1" applyFont="1" applyNumberFormat="1">
      <alignment horizontal="center"/>
    </xf>
    <xf borderId="20" fillId="2" fontId="6" numFmtId="165" xfId="0" applyAlignment="1" applyBorder="1" applyFont="1" applyNumberFormat="1">
      <alignment horizontal="center"/>
    </xf>
    <xf borderId="21" fillId="2" fontId="6" numFmtId="165" xfId="0" applyAlignment="1" applyBorder="1" applyFont="1" applyNumberFormat="1">
      <alignment horizontal="center"/>
    </xf>
    <xf borderId="22" fillId="2" fontId="5" numFmtId="165" xfId="0" applyAlignment="1" applyBorder="1" applyFont="1" applyNumberFormat="1">
      <alignment horizontal="center"/>
    </xf>
    <xf borderId="23" fillId="2" fontId="5" numFmtId="165" xfId="0" applyBorder="1" applyFont="1" applyNumberFormat="1"/>
    <xf borderId="3" fillId="2" fontId="7" numFmtId="165" xfId="0" applyBorder="1" applyFont="1" applyNumberFormat="1"/>
    <xf borderId="10" fillId="2" fontId="5" numFmtId="165" xfId="0" applyBorder="1" applyFont="1" applyNumberFormat="1"/>
    <xf borderId="11" fillId="2" fontId="5" numFmtId="165" xfId="0" applyBorder="1" applyFont="1" applyNumberFormat="1"/>
    <xf borderId="12" fillId="2" fontId="5" numFmtId="165" xfId="0" applyBorder="1" applyFont="1" applyNumberFormat="1"/>
    <xf borderId="3" fillId="2" fontId="9" numFmtId="0" xfId="0" applyAlignment="1" applyBorder="1" applyFont="1">
      <alignment horizontal="left"/>
    </xf>
    <xf borderId="3" fillId="2" fontId="10" numFmtId="0" xfId="0" applyAlignment="1" applyBorder="1" applyFont="1">
      <alignment horizontal="center"/>
    </xf>
    <xf borderId="3" fillId="2" fontId="11" numFmtId="165" xfId="0" applyAlignment="1" applyBorder="1" applyFont="1" applyNumberFormat="1">
      <alignment horizontal="center"/>
    </xf>
    <xf borderId="3" fillId="2" fontId="5" numFmtId="165" xfId="0" applyBorder="1" applyFont="1" applyNumberFormat="1"/>
    <xf borderId="4" fillId="3" fontId="5" numFmtId="166" xfId="0" applyBorder="1" applyFill="1" applyFont="1" applyNumberFormat="1"/>
    <xf borderId="3" fillId="2" fontId="5" numFmtId="165" xfId="0" applyAlignment="1" applyBorder="1" applyFont="1" applyNumberFormat="1">
      <alignment horizontal="center"/>
    </xf>
    <xf borderId="24" fillId="2" fontId="5" numFmtId="3" xfId="0" applyBorder="1" applyFont="1" applyNumberFormat="1"/>
    <xf borderId="25" fillId="2" fontId="5" numFmtId="0" xfId="0" applyBorder="1" applyFont="1"/>
    <xf borderId="4" fillId="2" fontId="5" numFmtId="167" xfId="0" applyBorder="1" applyFont="1" applyNumberFormat="1"/>
    <xf borderId="3" fillId="2" fontId="5" numFmtId="167" xfId="0" applyBorder="1" applyFont="1" applyNumberFormat="1"/>
    <xf borderId="3" fillId="2" fontId="5" numFmtId="2" xfId="0" applyBorder="1" applyFont="1" applyNumberFormat="1"/>
    <xf borderId="3" fillId="3" fontId="5" numFmtId="0" xfId="0" applyBorder="1" applyFont="1"/>
    <xf borderId="4" fillId="3" fontId="5" numFmtId="164" xfId="0" applyBorder="1" applyFont="1" applyNumberFormat="1"/>
    <xf borderId="4" fillId="3" fontId="5" numFmtId="15" xfId="0" applyBorder="1" applyFont="1" applyNumberFormat="1"/>
    <xf borderId="4" fillId="3" fontId="5" numFmtId="3" xfId="0" applyBorder="1" applyFont="1" applyNumberFormat="1"/>
    <xf borderId="4" fillId="3" fontId="5" numFmtId="37" xfId="0" applyBorder="1" applyFont="1" applyNumberFormat="1"/>
    <xf borderId="3" fillId="3" fontId="5" numFmtId="39" xfId="0" applyBorder="1" applyFont="1" applyNumberFormat="1"/>
    <xf borderId="4" fillId="2" fontId="5" numFmtId="3" xfId="0" applyBorder="1" applyFont="1" applyNumberFormat="1"/>
    <xf borderId="3" fillId="2" fontId="5" numFmtId="37" xfId="0" applyBorder="1" applyFont="1" applyNumberFormat="1"/>
    <xf borderId="4" fillId="2" fontId="5" numFmtId="15" xfId="0" applyBorder="1" applyFont="1" applyNumberFormat="1"/>
    <xf borderId="26" fillId="2" fontId="5" numFmtId="0" xfId="0" applyBorder="1" applyFont="1"/>
    <xf borderId="26" fillId="2" fontId="5" numFmtId="165" xfId="0" applyBorder="1" applyFont="1" applyNumberFormat="1"/>
    <xf borderId="3" fillId="2" fontId="3" numFmtId="165" xfId="0" applyBorder="1" applyFont="1" applyNumberFormat="1"/>
    <xf borderId="3" fillId="2" fontId="5" numFmtId="165" xfId="0" applyAlignment="1" applyBorder="1" applyFont="1" applyNumberFormat="1">
      <alignment horizontal="right"/>
    </xf>
    <xf borderId="1" fillId="2" fontId="12" numFmtId="0" xfId="0" applyAlignment="1" applyBorder="1" applyFont="1">
      <alignment horizontal="left"/>
    </xf>
    <xf borderId="3" fillId="2" fontId="6" numFmtId="165" xfId="0" applyBorder="1" applyFont="1" applyNumberFormat="1"/>
    <xf borderId="3" fillId="2" fontId="13" numFmtId="0" xfId="0" applyAlignment="1" applyBorder="1" applyFont="1">
      <alignment horizontal="left"/>
    </xf>
    <xf borderId="3" fillId="2" fontId="5" numFmtId="168" xfId="0" applyBorder="1" applyFont="1" applyNumberFormat="1"/>
    <xf borderId="3" fillId="2" fontId="3" numFmtId="0" xfId="0" applyAlignment="1" applyBorder="1" applyFont="1">
      <alignment horizontal="left"/>
    </xf>
    <xf borderId="3" fillId="2" fontId="14" numFmtId="165" xfId="0" applyAlignment="1" applyBorder="1" applyFont="1" applyNumberFormat="1">
      <alignment horizontal="center"/>
    </xf>
    <xf borderId="27" fillId="2" fontId="5" numFmtId="0" xfId="0" applyBorder="1" applyFont="1"/>
    <xf borderId="27" fillId="2" fontId="3" numFmtId="0" xfId="0" applyBorder="1" applyFont="1"/>
    <xf borderId="27" fillId="2" fontId="3" numFmtId="165" xfId="0" applyBorder="1" applyFont="1" applyNumberFormat="1"/>
    <xf borderId="27" fillId="2" fontId="5" numFmtId="165" xfId="0" applyBorder="1" applyFont="1" applyNumberFormat="1"/>
    <xf borderId="3" fillId="2" fontId="3" numFmtId="167" xfId="0" applyBorder="1" applyFont="1" applyNumberFormat="1"/>
    <xf borderId="3" fillId="2" fontId="15" numFmtId="0" xfId="0" applyBorder="1" applyFont="1"/>
    <xf borderId="3" fillId="2" fontId="7" numFmtId="167" xfId="0" applyBorder="1" applyFont="1" applyNumberFormat="1"/>
    <xf borderId="3" fillId="2" fontId="16" numFmtId="40" xfId="0" applyBorder="1" applyFont="1" applyNumberFormat="1"/>
    <xf borderId="3" fillId="2" fontId="15" numFmtId="167" xfId="0" applyBorder="1" applyFont="1" applyNumberFormat="1"/>
    <xf borderId="3" fillId="3" fontId="3" numFmtId="0" xfId="0" applyBorder="1" applyFont="1"/>
    <xf borderId="3" fillId="3" fontId="17" numFmtId="0" xfId="0" applyBorder="1" applyFont="1"/>
    <xf borderId="3" fillId="3" fontId="17" numFmtId="167" xfId="0" applyBorder="1" applyFont="1" applyNumberFormat="1"/>
    <xf borderId="3" fillId="2" fontId="18" numFmtId="0" xfId="0" applyBorder="1" applyFont="1"/>
    <xf borderId="28" fillId="2" fontId="7" numFmtId="0" xfId="0" applyBorder="1" applyFont="1"/>
    <xf borderId="3" fillId="2" fontId="19" numFmtId="0" xfId="0" applyBorder="1" applyFont="1"/>
    <xf borderId="3" fillId="2" fontId="19" numFmtId="0" xfId="0" applyAlignment="1" applyBorder="1" applyFont="1">
      <alignment horizontal="center"/>
    </xf>
    <xf borderId="3" fillId="2" fontId="20" numFmtId="0" xfId="0" applyBorder="1" applyFont="1"/>
    <xf borderId="1" fillId="2" fontId="21" numFmtId="0" xfId="0" applyAlignment="1" applyBorder="1" applyFont="1">
      <alignment horizontal="center"/>
    </xf>
    <xf borderId="3" fillId="2" fontId="6" numFmtId="0" xfId="0" applyBorder="1" applyFont="1"/>
    <xf borderId="3" fillId="2" fontId="22" numFmtId="0" xfId="0" applyBorder="1" applyFont="1"/>
    <xf borderId="4" fillId="2" fontId="5" numFmtId="164" xfId="0" applyAlignment="1" applyBorder="1" applyFont="1" applyNumberFormat="1">
      <alignment readingOrder="0"/>
    </xf>
    <xf borderId="14" fillId="2" fontId="5" numFmtId="0" xfId="0" applyAlignment="1" applyBorder="1" applyFont="1">
      <alignment horizontal="center"/>
    </xf>
    <xf borderId="9" fillId="2" fontId="5" numFmtId="165" xfId="0" applyBorder="1" applyFont="1" applyNumberFormat="1"/>
    <xf borderId="29" fillId="2" fontId="5" numFmtId="165" xfId="0" applyBorder="1" applyFont="1" applyNumberFormat="1"/>
    <xf borderId="30" fillId="2" fontId="5" numFmtId="165" xfId="0" applyBorder="1" applyFont="1" applyNumberFormat="1"/>
    <xf borderId="4" fillId="3" fontId="5" numFmtId="166" xfId="0" applyAlignment="1" applyBorder="1" applyFont="1" applyNumberFormat="1">
      <alignment readingOrder="0"/>
    </xf>
    <xf borderId="3" fillId="2" fontId="23" numFmtId="0" xfId="0" applyAlignment="1" applyBorder="1" applyFont="1">
      <alignment shrinkToFit="0" wrapText="1"/>
    </xf>
    <xf borderId="4" fillId="0" fontId="5" numFmtId="167" xfId="0" applyBorder="1" applyFont="1" applyNumberFormat="1"/>
    <xf borderId="3" fillId="4" fontId="6" numFmtId="0" xfId="0" applyBorder="1" applyFill="1" applyFont="1"/>
    <xf borderId="3" fillId="4" fontId="5" numFmtId="0" xfId="0" applyBorder="1" applyFont="1"/>
    <xf borderId="4" fillId="0" fontId="5" numFmtId="164" xfId="0" applyAlignment="1" applyBorder="1" applyFont="1" applyNumberFormat="1">
      <alignment readingOrder="0"/>
    </xf>
    <xf borderId="4" fillId="0" fontId="5" numFmtId="37" xfId="0" applyBorder="1" applyFont="1" applyNumberFormat="1"/>
    <xf borderId="0" fillId="0" fontId="5" numFmtId="37" xfId="0" applyFont="1" applyNumberFormat="1"/>
    <xf borderId="3" fillId="4" fontId="5" numFmtId="165" xfId="0" applyBorder="1" applyFont="1" applyNumberFormat="1"/>
    <xf borderId="3" fillId="2" fontId="24" numFmtId="0" xfId="0" applyBorder="1" applyFont="1"/>
    <xf borderId="3" fillId="5" fontId="6" numFmtId="168" xfId="0" applyBorder="1" applyFill="1" applyFont="1" applyNumberFormat="1"/>
    <xf borderId="3" fillId="2" fontId="24" numFmtId="168" xfId="0" applyBorder="1" applyFont="1" applyNumberFormat="1"/>
    <xf borderId="3" fillId="2" fontId="25" numFmtId="169" xfId="0" applyBorder="1" applyFont="1" applyNumberFormat="1"/>
    <xf borderId="0" fillId="0" fontId="24" numFmtId="0" xfId="0" applyFont="1"/>
    <xf borderId="3" fillId="2" fontId="26" numFmtId="17" xfId="0" applyBorder="1" applyFont="1" applyNumberFormat="1"/>
    <xf borderId="3" fillId="2" fontId="25" numFmtId="0" xfId="0" applyBorder="1" applyFont="1"/>
    <xf borderId="0" fillId="0" fontId="27" numFmtId="0" xfId="0" applyFont="1"/>
    <xf borderId="0" fillId="0" fontId="28" numFmtId="168" xfId="0" applyFont="1" applyNumberFormat="1"/>
    <xf borderId="3" fillId="2" fontId="26" numFmtId="0" xfId="0" applyBorder="1" applyFont="1"/>
    <xf borderId="27" fillId="6" fontId="6" numFmtId="165" xfId="0" applyBorder="1" applyFill="1" applyFont="1" applyNumberFormat="1"/>
    <xf borderId="0" fillId="0" fontId="27" numFmtId="168" xfId="0" applyFont="1" applyNumberFormat="1"/>
    <xf borderId="3" fillId="2" fontId="3" numFmtId="0" xfId="0" applyAlignment="1" applyBorder="1" applyFont="1">
      <alignment vertical="bottom"/>
    </xf>
    <xf borderId="3" fillId="2" fontId="3" numFmtId="0" xfId="0" applyAlignment="1" applyBorder="1" applyFont="1">
      <alignment horizontal="right" vertical="bottom"/>
    </xf>
    <xf borderId="3" fillId="2" fontId="3" numFmtId="2" xfId="0" applyBorder="1" applyFont="1" applyNumberFormat="1"/>
    <xf borderId="31" fillId="2" fontId="5" numFmtId="165" xfId="0" applyBorder="1" applyFont="1" applyNumberFormat="1"/>
    <xf borderId="3" fillId="2" fontId="3" numFmtId="168" xfId="0" applyBorder="1" applyFont="1" applyNumberFormat="1"/>
    <xf borderId="3" fillId="2" fontId="17" numFmtId="0" xfId="0" applyBorder="1" applyFont="1"/>
    <xf borderId="3" fillId="2" fontId="17" numFmtId="167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6.43"/>
    <col customWidth="1" min="3" max="3" width="16.86"/>
    <col customWidth="1" min="4" max="4" width="18.43"/>
    <col customWidth="1" min="5" max="5" width="19.0"/>
    <col customWidth="1" min="6" max="6" width="8.43"/>
    <col customWidth="1" min="7" max="9" width="20.71"/>
    <col customWidth="1" min="10" max="10" width="7.43"/>
    <col customWidth="1" min="11" max="11" width="11.43"/>
    <col customWidth="1" min="12" max="12" width="14.86"/>
    <col customWidth="1" min="13" max="13" width="11.86"/>
    <col customWidth="1" min="14" max="15" width="10.43"/>
    <col customWidth="1" min="16" max="26" width="11.43"/>
  </cols>
  <sheetData>
    <row r="1" ht="2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/>
      <c r="C2" s="5"/>
      <c r="D2" s="5"/>
      <c r="E2" s="5"/>
      <c r="F2" s="5"/>
      <c r="G2" s="5"/>
      <c r="H2" s="6" t="s">
        <v>1</v>
      </c>
      <c r="I2" s="7">
        <v>1.0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 t="s">
        <v>2</v>
      </c>
      <c r="B3" s="8"/>
      <c r="C3" s="8"/>
      <c r="D3" s="9" t="s">
        <v>3</v>
      </c>
      <c r="E3" s="3"/>
      <c r="F3" s="10"/>
      <c r="G3" s="10"/>
      <c r="H3" s="10" t="s">
        <v>4</v>
      </c>
      <c r="I3" s="11">
        <v>187997.0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5</v>
      </c>
      <c r="B5" s="8"/>
      <c r="C5" s="8"/>
      <c r="D5" s="8"/>
      <c r="E5" s="12">
        <v>42317.0</v>
      </c>
      <c r="F5" s="8"/>
      <c r="G5" s="8"/>
      <c r="H5" s="8"/>
      <c r="I5" s="8"/>
      <c r="J5" s="3"/>
      <c r="K5" s="3"/>
      <c r="L5" s="3" t="s">
        <v>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/>
      <c r="B6" s="8"/>
      <c r="C6" s="8"/>
      <c r="D6" s="8"/>
      <c r="E6" s="13"/>
      <c r="F6" s="8"/>
      <c r="G6" s="8"/>
      <c r="H6" s="8"/>
      <c r="I6" s="8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 t="s">
        <v>7</v>
      </c>
      <c r="B7" s="8"/>
      <c r="C7" s="8"/>
      <c r="D7" s="8"/>
      <c r="E7" s="12">
        <v>42987.0</v>
      </c>
      <c r="F7" s="8"/>
      <c r="G7" s="8"/>
      <c r="H7" s="8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/>
      <c r="B8" s="8"/>
      <c r="C8" s="8"/>
      <c r="D8" s="8"/>
      <c r="E8" s="8"/>
      <c r="F8" s="8">
        <f>D9*360</f>
        <v>360</v>
      </c>
      <c r="G8" s="14">
        <f>C17-F8</f>
        <v>301</v>
      </c>
      <c r="H8" s="8"/>
      <c r="I8" s="8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 t="s">
        <v>8</v>
      </c>
      <c r="B9" s="8"/>
      <c r="C9" s="8"/>
      <c r="D9" s="15">
        <f>ROUND(C17/360-0.49,0)</f>
        <v>1</v>
      </c>
      <c r="E9" s="16" t="s">
        <v>9</v>
      </c>
      <c r="F9" s="16">
        <f>ROUND(G8/30-0.49,0)</f>
        <v>10</v>
      </c>
      <c r="G9" s="16" t="s">
        <v>10</v>
      </c>
      <c r="H9" s="17">
        <f>C17-F8-F9*30</f>
        <v>1</v>
      </c>
      <c r="I9" s="18" t="s">
        <v>11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/>
      <c r="B10" s="8"/>
      <c r="C10" s="6"/>
      <c r="D10" s="19"/>
      <c r="E10" s="20" t="s">
        <v>12</v>
      </c>
      <c r="F10" s="21"/>
      <c r="G10" s="22" t="s">
        <v>13</v>
      </c>
      <c r="H10" s="23" t="s">
        <v>14</v>
      </c>
      <c r="I10" s="24" t="s">
        <v>15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 t="s">
        <v>16</v>
      </c>
      <c r="B11" s="8"/>
      <c r="C11" s="8"/>
      <c r="D11" s="25" t="s">
        <v>17</v>
      </c>
      <c r="E11" s="26">
        <v>23150.0</v>
      </c>
      <c r="F11" s="27"/>
      <c r="G11" s="28">
        <f>+D64</f>
        <v>23150</v>
      </c>
      <c r="H11" s="29">
        <f>D64*1.16666666666667</f>
        <v>27008.33333</v>
      </c>
      <c r="I11" s="30">
        <f>E13</f>
        <v>28350.22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/>
      <c r="B12" s="8"/>
      <c r="C12" s="6" t="s">
        <v>18</v>
      </c>
      <c r="D12" s="31"/>
      <c r="E12" s="32" t="s">
        <v>19</v>
      </c>
      <c r="F12" s="27"/>
      <c r="G12" s="33" t="s">
        <v>20</v>
      </c>
      <c r="H12" s="34" t="s">
        <v>20</v>
      </c>
      <c r="I12" s="35" t="s">
        <v>21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22</v>
      </c>
      <c r="B13" s="8"/>
      <c r="C13" s="8"/>
      <c r="D13" s="25" t="s">
        <v>17</v>
      </c>
      <c r="E13" s="36">
        <f>ROUND(D64*1.16666666666667,2)+H64</f>
        <v>28350.22</v>
      </c>
      <c r="F13" s="37"/>
      <c r="G13" s="38">
        <f t="shared" ref="G13:H13" si="1">G11/30</f>
        <v>771.6666667</v>
      </c>
      <c r="H13" s="39">
        <f t="shared" si="1"/>
        <v>900.2777778</v>
      </c>
      <c r="I13" s="40">
        <f>+I11/30</f>
        <v>945.0073333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1" t="s">
        <v>23</v>
      </c>
      <c r="B14" s="42"/>
      <c r="C14" s="42"/>
      <c r="D14" s="42"/>
      <c r="E14" s="43"/>
      <c r="F14" s="43"/>
      <c r="G14" s="43"/>
      <c r="H14" s="43"/>
      <c r="I14" s="4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/>
      <c r="B15" s="8"/>
      <c r="C15" s="8"/>
      <c r="D15" s="8"/>
      <c r="E15" s="44"/>
      <c r="F15" s="44"/>
      <c r="G15" s="44"/>
      <c r="H15" s="44"/>
      <c r="I15" s="4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24</v>
      </c>
      <c r="B16" s="8"/>
      <c r="C16" s="8"/>
      <c r="D16" s="45">
        <f>IF(C17&lt;90,1,IF(C17&lt;180,7,IF(C17&lt;360,14,IF(C17&lt;720,30,IF(C17&gt;=720,60)))))</f>
        <v>30</v>
      </c>
      <c r="E16" s="46" t="s">
        <v>25</v>
      </c>
      <c r="F16" s="46" t="s">
        <v>26</v>
      </c>
      <c r="G16" s="44">
        <f>+I13</f>
        <v>945.0073333</v>
      </c>
      <c r="H16" s="44"/>
      <c r="I16" s="44">
        <f>G16*D16</f>
        <v>28350.22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/>
      <c r="B17" s="8"/>
      <c r="C17" s="47">
        <f>DAYS360(E5,E7)+1</f>
        <v>661</v>
      </c>
      <c r="D17" s="48" t="s">
        <v>27</v>
      </c>
      <c r="E17" s="46"/>
      <c r="F17" s="44"/>
      <c r="G17" s="44"/>
      <c r="H17" s="44"/>
      <c r="I17" s="4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 t="s">
        <v>28</v>
      </c>
      <c r="B18" s="8"/>
      <c r="C18" s="8"/>
      <c r="D18" s="49">
        <f>IF(C17&lt;90,0,IF(C17&lt;180,10,IF(C17&lt;360,20,IF(C17&lt;5400,ROUND(C17*30/360,2),IF(C17&gt;=5400,450)))))</f>
        <v>55.08</v>
      </c>
      <c r="E18" s="46" t="s">
        <v>25</v>
      </c>
      <c r="F18" s="46" t="s">
        <v>26</v>
      </c>
      <c r="G18" s="44">
        <f>+I13</f>
        <v>945.0073333</v>
      </c>
      <c r="H18" s="44"/>
      <c r="I18" s="44">
        <f>G18*D18</f>
        <v>52051.00392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4"/>
      <c r="B19" s="8"/>
      <c r="C19" s="8"/>
      <c r="D19" s="8"/>
      <c r="E19" s="46"/>
      <c r="F19" s="44"/>
      <c r="G19" s="44"/>
      <c r="H19" s="44"/>
      <c r="I19" s="4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 t="s">
        <v>29</v>
      </c>
      <c r="B20" s="8"/>
      <c r="C20" s="49"/>
      <c r="D20" s="50" t="str">
        <f>+C20</f>
        <v/>
      </c>
      <c r="E20" s="46" t="s">
        <v>25</v>
      </c>
      <c r="F20" s="46" t="s">
        <v>26</v>
      </c>
      <c r="G20" s="44">
        <f>+H13</f>
        <v>900.2777778</v>
      </c>
      <c r="H20" s="44"/>
      <c r="I20" s="44">
        <f>+G20*D20</f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8"/>
      <c r="B21" s="8"/>
      <c r="C21" s="8"/>
      <c r="D21" s="51"/>
      <c r="E21" s="46"/>
      <c r="F21" s="46"/>
      <c r="G21" s="44"/>
      <c r="H21" s="44"/>
      <c r="I21" s="4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52" t="s">
        <v>30</v>
      </c>
      <c r="B22" s="52"/>
      <c r="C22" s="52"/>
      <c r="D22" s="51">
        <f>ROUND(C23*A24/360,2)</f>
        <v>10.03</v>
      </c>
      <c r="E22" s="46" t="s">
        <v>25</v>
      </c>
      <c r="F22" s="46" t="s">
        <v>26</v>
      </c>
      <c r="G22" s="44">
        <f>+H13</f>
        <v>900.2777778</v>
      </c>
      <c r="H22" s="44"/>
      <c r="I22" s="44">
        <f>D22*G22</f>
        <v>9029.786111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53">
        <v>42683.0</v>
      </c>
      <c r="B23" s="54">
        <f>E7</f>
        <v>42987</v>
      </c>
      <c r="C23" s="55">
        <f>DAYS360(A23,B23)+1</f>
        <v>301</v>
      </c>
      <c r="D23" s="3"/>
      <c r="E23" s="46"/>
      <c r="F23" s="46"/>
      <c r="G23" s="44"/>
      <c r="H23" s="44"/>
      <c r="I23" s="4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56">
        <v>12.0</v>
      </c>
      <c r="B24" s="57"/>
      <c r="C24" s="52"/>
      <c r="D24" s="8"/>
      <c r="E24" s="46"/>
      <c r="F24" s="46"/>
      <c r="G24" s="44"/>
      <c r="H24" s="44"/>
      <c r="I24" s="4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8" t="s">
        <v>31</v>
      </c>
      <c r="B25" s="8"/>
      <c r="C25" s="8"/>
      <c r="D25" s="50">
        <f>ROUND(C26*30/360,2)</f>
        <v>20.75</v>
      </c>
      <c r="E25" s="46" t="s">
        <v>25</v>
      </c>
      <c r="F25" s="46" t="s">
        <v>26</v>
      </c>
      <c r="G25" s="44">
        <f>+G13</f>
        <v>771.6666667</v>
      </c>
      <c r="H25" s="44"/>
      <c r="I25" s="44">
        <f>G25*D25</f>
        <v>16012.08333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2">
        <v>42736.0</v>
      </c>
      <c r="B26" s="12">
        <f>+E7</f>
        <v>42987</v>
      </c>
      <c r="C26" s="58">
        <f>DAYS360(A26,B26)+1</f>
        <v>249</v>
      </c>
      <c r="D26" s="51"/>
      <c r="E26" s="46"/>
      <c r="F26" s="46"/>
      <c r="G26" s="44"/>
      <c r="H26" s="44"/>
      <c r="I26" s="4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59"/>
      <c r="B27" s="8"/>
      <c r="C27" s="8"/>
      <c r="D27" s="8"/>
      <c r="E27" s="46"/>
      <c r="F27" s="46"/>
      <c r="G27" s="44"/>
      <c r="H27" s="44"/>
      <c r="I27" s="4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8" t="s">
        <v>32</v>
      </c>
      <c r="B28" s="8"/>
      <c r="C28" s="8"/>
      <c r="D28" s="50">
        <f>ROUND(C29*30/360,2)</f>
        <v>5.75</v>
      </c>
      <c r="E28" s="46" t="s">
        <v>25</v>
      </c>
      <c r="F28" s="46" t="s">
        <v>26</v>
      </c>
      <c r="G28" s="44">
        <f>+G13</f>
        <v>771.6666667</v>
      </c>
      <c r="H28" s="44"/>
      <c r="I28" s="44">
        <f>G28*D28</f>
        <v>4437.083333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2">
        <v>42917.0</v>
      </c>
      <c r="B29" s="60">
        <f>+E7</f>
        <v>42987</v>
      </c>
      <c r="C29" s="58">
        <f>DAYS360(A29,B29)+1</f>
        <v>69</v>
      </c>
      <c r="D29" s="51"/>
      <c r="E29" s="46"/>
      <c r="F29" s="46"/>
      <c r="G29" s="44"/>
      <c r="H29" s="44"/>
      <c r="I29" s="44"/>
      <c r="J29" s="3"/>
      <c r="K29" s="3"/>
      <c r="L29" s="3" t="s">
        <v>33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61" t="s">
        <v>20</v>
      </c>
      <c r="B30" s="61"/>
      <c r="C30" s="61"/>
      <c r="D30" s="61"/>
      <c r="E30" s="62"/>
      <c r="F30" s="62"/>
      <c r="G30" s="62"/>
      <c r="H30" s="62"/>
      <c r="I30" s="62">
        <f>SUM(I16:I28)</f>
        <v>109880.1767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8"/>
      <c r="B31" s="8"/>
      <c r="C31" s="8"/>
      <c r="D31" s="8"/>
      <c r="E31" s="44"/>
      <c r="F31" s="44"/>
      <c r="G31" s="44"/>
      <c r="H31" s="44"/>
      <c r="I31" s="4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34</v>
      </c>
      <c r="B32" s="8"/>
      <c r="C32" s="8"/>
      <c r="D32" s="3"/>
      <c r="E32" s="63"/>
      <c r="F32" s="44"/>
      <c r="G32" s="44"/>
      <c r="H32" s="64" t="s">
        <v>17</v>
      </c>
      <c r="I32" s="44">
        <f>SUM(I16:I28)</f>
        <v>109880.1767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8"/>
      <c r="B33" s="8"/>
      <c r="C33" s="8"/>
      <c r="D33" s="3"/>
      <c r="E33" s="63"/>
      <c r="F33" s="44"/>
      <c r="G33" s="44"/>
      <c r="H33" s="64"/>
      <c r="I33" s="4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65" t="s">
        <v>35</v>
      </c>
      <c r="B34" s="2"/>
      <c r="C34" s="8"/>
      <c r="D34" s="3"/>
      <c r="E34" s="63"/>
      <c r="F34" s="44"/>
      <c r="G34" s="44"/>
      <c r="H34" s="64"/>
      <c r="I34" s="4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8"/>
      <c r="B35" s="8" t="s">
        <v>36</v>
      </c>
      <c r="C35" s="8"/>
      <c r="D35" s="3"/>
      <c r="E35" s="63"/>
      <c r="F35" s="46"/>
      <c r="G35" s="44"/>
      <c r="H35" s="64"/>
      <c r="I35" s="64">
        <v>6945.0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8"/>
      <c r="B36" s="3"/>
      <c r="C36" s="8"/>
      <c r="D36" s="3"/>
      <c r="E36" s="63"/>
      <c r="F36" s="46"/>
      <c r="G36" s="44"/>
      <c r="H36" s="64"/>
      <c r="I36" s="6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8"/>
      <c r="B37" s="3"/>
      <c r="C37" s="8"/>
      <c r="D37" s="3"/>
      <c r="E37" s="63"/>
      <c r="F37" s="46"/>
      <c r="G37" s="44"/>
      <c r="H37" s="64"/>
      <c r="I37" s="66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65" t="s">
        <v>37</v>
      </c>
      <c r="B38" s="2"/>
      <c r="C38" s="8"/>
      <c r="D38" s="3"/>
      <c r="E38" s="63"/>
      <c r="F38" s="44"/>
      <c r="G38" s="44"/>
      <c r="H38" s="64"/>
      <c r="I38" s="4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67"/>
      <c r="B39" s="8" t="s">
        <v>38</v>
      </c>
      <c r="C39" s="8"/>
      <c r="D39" s="3"/>
      <c r="E39" s="63"/>
      <c r="F39" s="44"/>
      <c r="G39" s="44"/>
      <c r="H39" s="64"/>
      <c r="I39" s="4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8" t="s">
        <v>39</v>
      </c>
      <c r="C40" s="3"/>
      <c r="D40" s="3"/>
      <c r="E40" s="63"/>
      <c r="F40" s="44"/>
      <c r="G40" s="44"/>
      <c r="H40" s="64"/>
      <c r="I40" s="68">
        <v>-11574.96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8" t="s">
        <v>40</v>
      </c>
      <c r="C41" s="8"/>
      <c r="D41" s="3"/>
      <c r="E41" s="63"/>
      <c r="F41" s="44"/>
      <c r="G41" s="44"/>
      <c r="H41" s="64"/>
      <c r="I41" s="68">
        <v>-424.64</v>
      </c>
      <c r="J41" s="3"/>
      <c r="K41" s="3"/>
      <c r="L41" s="4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8" t="s">
        <v>41</v>
      </c>
      <c r="C42" s="8"/>
      <c r="D42" s="3"/>
      <c r="E42" s="63"/>
      <c r="F42" s="44"/>
      <c r="G42" s="44"/>
      <c r="H42" s="64"/>
      <c r="I42" s="68">
        <f>0</f>
        <v>0</v>
      </c>
      <c r="J42" s="3"/>
      <c r="K42" s="3"/>
      <c r="L42" s="4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8" t="s">
        <v>42</v>
      </c>
      <c r="C43" s="8"/>
      <c r="D43" s="3"/>
      <c r="E43" s="63"/>
      <c r="F43" s="44"/>
      <c r="G43" s="44"/>
      <c r="H43" s="64"/>
      <c r="I43" s="68">
        <v>-227.88</v>
      </c>
      <c r="J43" s="3"/>
      <c r="K43" s="3"/>
      <c r="L43" s="4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8" t="s">
        <v>43</v>
      </c>
      <c r="C44" s="8"/>
      <c r="D44" s="3"/>
      <c r="E44" s="63"/>
      <c r="F44" s="44"/>
      <c r="G44" s="44"/>
      <c r="H44" s="64"/>
      <c r="I44" s="68">
        <v>0.0</v>
      </c>
      <c r="J44" s="3"/>
      <c r="K44" s="3"/>
      <c r="L44" s="69">
        <f>113.87*2</f>
        <v>227.74</v>
      </c>
      <c r="M44" s="3" t="s">
        <v>44</v>
      </c>
      <c r="N44" s="3" t="s">
        <v>45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8" t="s">
        <v>46</v>
      </c>
      <c r="C45" s="8"/>
      <c r="D45" s="3"/>
      <c r="E45" s="63"/>
      <c r="F45" s="44"/>
      <c r="G45" s="44"/>
      <c r="H45" s="64"/>
      <c r="I45" s="68">
        <v>0.0</v>
      </c>
      <c r="J45" s="3"/>
      <c r="K45" s="3"/>
      <c r="L45" s="4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8"/>
      <c r="C46" s="8"/>
      <c r="E46" s="63"/>
      <c r="F46" s="44"/>
      <c r="G46" s="44"/>
      <c r="H46" s="64"/>
      <c r="I46" s="68"/>
      <c r="J46" s="3"/>
      <c r="K46" s="3"/>
      <c r="L46" s="4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67" t="s">
        <v>47</v>
      </c>
      <c r="B47" s="4"/>
      <c r="C47" s="4"/>
      <c r="D47" s="4"/>
      <c r="E47" s="70"/>
      <c r="F47" s="70"/>
      <c r="G47" s="70"/>
      <c r="H47" s="70"/>
      <c r="I47" s="4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63"/>
      <c r="F48" s="63"/>
      <c r="G48" s="63"/>
      <c r="H48" s="63"/>
      <c r="I48" s="6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0" t="s">
        <v>48</v>
      </c>
      <c r="B49" s="10"/>
      <c r="C49" s="13">
        <f>E7</f>
        <v>42987</v>
      </c>
      <c r="D49" s="3"/>
      <c r="E49" s="63"/>
      <c r="F49" s="44"/>
      <c r="G49" s="44"/>
      <c r="H49" s="64" t="s">
        <v>17</v>
      </c>
      <c r="I49" s="44">
        <f>SUM(I32:I48)</f>
        <v>104597.6967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0"/>
      <c r="B50" s="10"/>
      <c r="C50" s="13"/>
      <c r="D50" s="3"/>
      <c r="E50" s="63"/>
      <c r="F50" s="44"/>
      <c r="G50" s="44"/>
      <c r="H50" s="64"/>
      <c r="I50" s="4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8"/>
      <c r="B51" s="8"/>
      <c r="C51" s="8"/>
      <c r="D51" s="3"/>
      <c r="E51" s="63"/>
      <c r="F51" s="44"/>
      <c r="G51" s="44"/>
      <c r="H51" s="64"/>
      <c r="I51" s="4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71" t="s">
        <v>20</v>
      </c>
      <c r="B52" s="71"/>
      <c r="C52" s="71"/>
      <c r="D52" s="72"/>
      <c r="E52" s="73"/>
      <c r="F52" s="74"/>
      <c r="G52" s="74"/>
      <c r="H52" s="64" t="s">
        <v>17</v>
      </c>
      <c r="I52" s="74">
        <f>SUM(I49:I51)</f>
        <v>104597.6967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6"/>
      <c r="B53" s="8"/>
      <c r="C53" s="8"/>
      <c r="D53" s="6"/>
      <c r="E53" s="50"/>
      <c r="F53" s="8"/>
      <c r="G53" s="8"/>
      <c r="H53" s="8"/>
      <c r="I53" s="8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6"/>
      <c r="B55" s="8"/>
      <c r="C55" s="8"/>
      <c r="D55" s="6"/>
      <c r="E55" s="50"/>
      <c r="F55" s="8"/>
      <c r="G55" s="8"/>
      <c r="H55" s="3"/>
      <c r="I55" s="3"/>
      <c r="J55" s="3"/>
      <c r="K55" s="3"/>
      <c r="L55" s="75">
        <f>C64+G64</f>
        <v>146951.34</v>
      </c>
      <c r="M55" s="3"/>
      <c r="N55" s="3">
        <f>I35/15</f>
        <v>463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76" t="s">
        <v>49</v>
      </c>
      <c r="B56" s="3"/>
      <c r="C56" s="3"/>
      <c r="D56" s="3"/>
      <c r="E56" s="76" t="s">
        <v>50</v>
      </c>
      <c r="F56" s="3"/>
      <c r="G56" s="3"/>
      <c r="H56" s="3"/>
      <c r="I56" s="3"/>
      <c r="J56" s="3"/>
      <c r="K56" s="3"/>
      <c r="L56" s="63"/>
      <c r="M56" s="3"/>
      <c r="N56" s="3">
        <f>N55*2</f>
        <v>926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51</v>
      </c>
      <c r="B57" s="3">
        <v>2017.0</v>
      </c>
      <c r="C57" s="3">
        <v>0.0</v>
      </c>
      <c r="D57" s="3"/>
      <c r="E57" s="3" t="s">
        <v>51</v>
      </c>
      <c r="F57" s="3">
        <v>2017.0</v>
      </c>
      <c r="G57" s="77">
        <v>0.0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52</v>
      </c>
      <c r="B58" s="3">
        <v>2017.0</v>
      </c>
      <c r="C58" s="3">
        <v>23150.0</v>
      </c>
      <c r="D58" s="3"/>
      <c r="E58" s="3" t="s">
        <v>52</v>
      </c>
      <c r="F58" s="3">
        <v>2017.0</v>
      </c>
      <c r="G58" s="77">
        <v>0.0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53</v>
      </c>
      <c r="B59" s="3">
        <v>2017.0</v>
      </c>
      <c r="C59" s="3">
        <v>23150.0</v>
      </c>
      <c r="D59" s="3"/>
      <c r="E59" s="3" t="s">
        <v>53</v>
      </c>
      <c r="F59" s="3">
        <v>2017.0</v>
      </c>
      <c r="G59" s="77">
        <v>0.0</v>
      </c>
      <c r="H59" s="3"/>
      <c r="I59" s="3"/>
      <c r="J59" s="78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54</v>
      </c>
      <c r="B60" s="3">
        <v>2017.0</v>
      </c>
      <c r="C60" s="3">
        <v>23150.0</v>
      </c>
      <c r="D60" s="3"/>
      <c r="E60" s="3" t="s">
        <v>54</v>
      </c>
      <c r="F60" s="3">
        <v>2017.0</v>
      </c>
      <c r="G60" s="77"/>
      <c r="H60" s="3"/>
      <c r="I60" s="3"/>
      <c r="J60" s="78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55</v>
      </c>
      <c r="B61" s="3">
        <v>2017.0</v>
      </c>
      <c r="C61" s="3">
        <v>23150.0</v>
      </c>
      <c r="D61" s="3"/>
      <c r="E61" s="3" t="s">
        <v>55</v>
      </c>
      <c r="F61" s="3">
        <v>2017.0</v>
      </c>
      <c r="G61" s="77">
        <v>8051.34</v>
      </c>
      <c r="H61" s="3"/>
      <c r="I61" s="3"/>
      <c r="J61" s="78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56</v>
      </c>
      <c r="B62" s="3">
        <v>2017.0</v>
      </c>
      <c r="C62" s="3">
        <v>23150.0</v>
      </c>
      <c r="D62" s="3"/>
      <c r="E62" s="3" t="s">
        <v>56</v>
      </c>
      <c r="F62" s="3">
        <v>2017.0</v>
      </c>
      <c r="G62" s="77">
        <v>0.0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57</v>
      </c>
      <c r="B63" s="3">
        <v>2017.0</v>
      </c>
      <c r="C63" s="3">
        <v>23150.0</v>
      </c>
      <c r="D63" s="3"/>
      <c r="E63" s="3" t="s">
        <v>57</v>
      </c>
      <c r="F63" s="3">
        <v>2017.0</v>
      </c>
      <c r="G63" s="77">
        <v>0.0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76" t="s">
        <v>58</v>
      </c>
      <c r="B64" s="76"/>
      <c r="C64" s="79">
        <f>SUM(C57:C63)</f>
        <v>138900</v>
      </c>
      <c r="D64" s="79">
        <f>(C64/6)*1</f>
        <v>23150</v>
      </c>
      <c r="E64" s="76" t="s">
        <v>58</v>
      </c>
      <c r="F64" s="76"/>
      <c r="G64" s="79">
        <f>SUM(G57:G63)</f>
        <v>8051.34</v>
      </c>
      <c r="H64" s="79">
        <f>(G64/180)*30</f>
        <v>1341.89</v>
      </c>
      <c r="I64" s="3"/>
      <c r="J64" s="3"/>
      <c r="K64" s="80"/>
      <c r="L64" s="80"/>
      <c r="M64" s="80"/>
      <c r="N64" s="80"/>
      <c r="O64" s="8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80"/>
      <c r="L65" s="80"/>
      <c r="M65" s="80"/>
      <c r="N65" s="80"/>
      <c r="O65" s="8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80"/>
      <c r="L66" s="80"/>
      <c r="M66" s="80"/>
      <c r="N66" s="80"/>
      <c r="O66" s="8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80"/>
      <c r="L67" s="81">
        <f>+D64*1.16</f>
        <v>26854</v>
      </c>
      <c r="M67" s="81"/>
      <c r="N67" s="80"/>
      <c r="O67" s="8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80"/>
      <c r="L68" s="82">
        <f>+L67+H64</f>
        <v>28195.89</v>
      </c>
      <c r="M68" s="81"/>
      <c r="N68" s="80"/>
      <c r="O68" s="8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80"/>
      <c r="L69" s="80"/>
      <c r="M69" s="80"/>
      <c r="N69" s="80"/>
      <c r="O69" s="8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83"/>
      <c r="B70" s="83"/>
      <c r="C70" s="83"/>
      <c r="D70" s="83"/>
      <c r="E70" s="83"/>
      <c r="F70" s="3"/>
      <c r="G70" s="3"/>
      <c r="H70" s="3"/>
      <c r="I70" s="3"/>
      <c r="J70" s="3"/>
      <c r="K70" s="80"/>
      <c r="L70" s="80"/>
      <c r="M70" s="80"/>
      <c r="N70" s="80"/>
      <c r="O70" s="8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84"/>
      <c r="B71" s="84"/>
      <c r="C71" s="21"/>
      <c r="D71" s="84"/>
      <c r="E71" s="84"/>
      <c r="F71" s="85"/>
      <c r="G71" s="84"/>
      <c r="H71" s="84"/>
      <c r="I71" s="85"/>
      <c r="J71" s="3"/>
      <c r="K71" s="80"/>
      <c r="L71" s="80"/>
      <c r="M71" s="80"/>
      <c r="N71" s="80"/>
      <c r="O71" s="8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86" t="s">
        <v>59</v>
      </c>
      <c r="B72" s="86"/>
      <c r="C72" s="85"/>
      <c r="D72" s="85" t="s">
        <v>60</v>
      </c>
      <c r="E72" s="85"/>
      <c r="F72" s="85"/>
      <c r="G72" s="85" t="s">
        <v>61</v>
      </c>
      <c r="H72" s="85"/>
      <c r="I72" s="85"/>
      <c r="J72" s="3"/>
      <c r="K72" s="80"/>
      <c r="L72" s="80"/>
      <c r="M72" s="80"/>
      <c r="N72" s="80"/>
      <c r="O72" s="8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85"/>
      <c r="B73" s="85"/>
      <c r="C73" s="85"/>
      <c r="D73" s="85"/>
      <c r="E73" s="85"/>
      <c r="F73" s="85"/>
      <c r="G73" s="85"/>
      <c r="H73" s="85"/>
      <c r="I73" s="85"/>
      <c r="J73" s="3"/>
      <c r="K73" s="80"/>
      <c r="L73" s="80"/>
      <c r="M73" s="80"/>
      <c r="N73" s="80"/>
      <c r="O73" s="8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85"/>
      <c r="B74" s="85"/>
      <c r="C74" s="85"/>
      <c r="D74" s="85"/>
      <c r="E74" s="85"/>
      <c r="F74" s="85"/>
      <c r="G74" s="85"/>
      <c r="H74" s="85"/>
      <c r="I74" s="85"/>
      <c r="J74" s="3"/>
      <c r="K74" s="80"/>
      <c r="L74" s="80"/>
      <c r="M74" s="80"/>
      <c r="N74" s="80"/>
      <c r="O74" s="8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85"/>
      <c r="B75" s="85"/>
      <c r="C75" s="85"/>
      <c r="D75" s="85"/>
      <c r="E75" s="85"/>
      <c r="F75" s="85"/>
      <c r="G75" s="85"/>
      <c r="H75" s="85"/>
      <c r="I75" s="85"/>
      <c r="J75" s="3"/>
      <c r="K75" s="80"/>
      <c r="L75" s="80"/>
      <c r="M75" s="80"/>
      <c r="N75" s="80"/>
      <c r="O75" s="8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85"/>
      <c r="B76" s="85"/>
      <c r="C76" s="85"/>
      <c r="D76" s="85"/>
      <c r="E76" s="85"/>
      <c r="F76" s="85"/>
      <c r="G76" s="85"/>
      <c r="H76" s="85"/>
      <c r="I76" s="85"/>
      <c r="J76" s="3"/>
      <c r="K76" s="80"/>
      <c r="L76" s="80"/>
      <c r="M76" s="80"/>
      <c r="N76" s="80"/>
      <c r="O76" s="8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85"/>
      <c r="B77" s="85"/>
      <c r="C77" s="85"/>
      <c r="D77" s="85"/>
      <c r="E77" s="85"/>
      <c r="F77" s="85"/>
      <c r="G77" s="85"/>
      <c r="H77" s="85"/>
      <c r="I77" s="85"/>
      <c r="J77" s="3"/>
      <c r="K77" s="80"/>
      <c r="L77" s="80"/>
      <c r="M77" s="80"/>
      <c r="N77" s="80"/>
      <c r="O77" s="8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80"/>
      <c r="L78" s="80"/>
      <c r="M78" s="80"/>
      <c r="N78" s="80"/>
      <c r="O78" s="8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87"/>
      <c r="G82" s="3"/>
      <c r="H82" s="3"/>
      <c r="I82" s="87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34:B34"/>
    <mergeCell ref="A38:B38"/>
  </mergeCells>
  <printOptions/>
  <pageMargins bottom="0.75" footer="0.0" header="0.0" left="0.7" right="0.7" top="0.75"/>
  <pageSetup paperSize="9" scale="55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6.43"/>
    <col customWidth="1" min="3" max="3" width="16.86"/>
    <col customWidth="1" min="4" max="4" width="18.43"/>
    <col customWidth="1" min="5" max="5" width="19.0"/>
    <col customWidth="1" min="6" max="6" width="8.43"/>
    <col customWidth="1" min="7" max="9" width="20.71"/>
    <col customWidth="1" min="10" max="10" width="7.43"/>
    <col customWidth="1" min="11" max="11" width="11.43"/>
    <col customWidth="1" min="12" max="12" width="14.86"/>
    <col customWidth="1" min="13" max="13" width="11.86"/>
    <col customWidth="1" min="14" max="15" width="10.43"/>
    <col customWidth="1" min="16" max="26" width="11.43"/>
  </cols>
  <sheetData>
    <row r="1" ht="2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/>
      <c r="C2" s="5"/>
      <c r="D2" s="5"/>
      <c r="E2" s="5"/>
      <c r="F2" s="5"/>
      <c r="G2" s="5"/>
      <c r="H2" s="6" t="s">
        <v>1</v>
      </c>
      <c r="I2" s="7">
        <v>1.0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 t="s">
        <v>2</v>
      </c>
      <c r="B3" s="8"/>
      <c r="C3" s="8"/>
      <c r="D3" s="9" t="s">
        <v>3</v>
      </c>
      <c r="E3" s="3"/>
      <c r="F3" s="10"/>
      <c r="G3" s="10"/>
      <c r="H3" s="10" t="s">
        <v>4</v>
      </c>
      <c r="I3" s="11">
        <v>187997.0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5</v>
      </c>
      <c r="B5" s="8"/>
      <c r="C5" s="8"/>
      <c r="D5" s="8"/>
      <c r="E5" s="12">
        <v>42317.0</v>
      </c>
      <c r="F5" s="8"/>
      <c r="G5" s="8"/>
      <c r="H5" s="8"/>
      <c r="I5" s="8"/>
      <c r="J5" s="3"/>
      <c r="K5" s="3"/>
      <c r="L5" s="3" t="s">
        <v>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/>
      <c r="B6" s="8"/>
      <c r="C6" s="8"/>
      <c r="D6" s="8"/>
      <c r="E6" s="13"/>
      <c r="F6" s="8"/>
      <c r="G6" s="8"/>
      <c r="H6" s="8"/>
      <c r="I6" s="8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 t="s">
        <v>7</v>
      </c>
      <c r="B7" s="8"/>
      <c r="C7" s="8"/>
      <c r="D7" s="8"/>
      <c r="E7" s="12">
        <v>42990.0</v>
      </c>
      <c r="F7" s="8"/>
      <c r="G7" s="8"/>
      <c r="H7" s="8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/>
      <c r="B8" s="8"/>
      <c r="C8" s="8"/>
      <c r="D8" s="8"/>
      <c r="E8" s="8"/>
      <c r="F8" s="8">
        <f>D9*360</f>
        <v>360</v>
      </c>
      <c r="G8" s="14">
        <f>C17-F8</f>
        <v>304</v>
      </c>
      <c r="H8" s="8"/>
      <c r="I8" s="8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 t="s">
        <v>8</v>
      </c>
      <c r="B9" s="8"/>
      <c r="C9" s="8"/>
      <c r="D9" s="15">
        <f>ROUND(C17/360-0.49,0)</f>
        <v>1</v>
      </c>
      <c r="E9" s="16" t="s">
        <v>9</v>
      </c>
      <c r="F9" s="16">
        <f>ROUND(G8/30-0.49,0)</f>
        <v>10</v>
      </c>
      <c r="G9" s="16" t="s">
        <v>10</v>
      </c>
      <c r="H9" s="17">
        <f>C17-F8-F9*30</f>
        <v>4</v>
      </c>
      <c r="I9" s="18" t="s">
        <v>11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/>
      <c r="B10" s="8"/>
      <c r="C10" s="6"/>
      <c r="D10" s="19"/>
      <c r="E10" s="20" t="s">
        <v>12</v>
      </c>
      <c r="F10" s="21"/>
      <c r="G10" s="22" t="s">
        <v>13</v>
      </c>
      <c r="H10" s="23" t="s">
        <v>14</v>
      </c>
      <c r="I10" s="24" t="s">
        <v>15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 t="s">
        <v>16</v>
      </c>
      <c r="B11" s="8"/>
      <c r="C11" s="8"/>
      <c r="D11" s="25" t="s">
        <v>17</v>
      </c>
      <c r="E11" s="26">
        <v>18200.0</v>
      </c>
      <c r="F11" s="27"/>
      <c r="G11" s="28">
        <f>+D64</f>
        <v>18200</v>
      </c>
      <c r="H11" s="29">
        <f>D64*1.16666666666667</f>
        <v>21233.33333</v>
      </c>
      <c r="I11" s="30">
        <f>E13</f>
        <v>23099.99667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/>
      <c r="B12" s="8"/>
      <c r="C12" s="6" t="s">
        <v>18</v>
      </c>
      <c r="D12" s="31"/>
      <c r="E12" s="32" t="s">
        <v>19</v>
      </c>
      <c r="F12" s="27"/>
      <c r="G12" s="33" t="s">
        <v>20</v>
      </c>
      <c r="H12" s="34" t="s">
        <v>20</v>
      </c>
      <c r="I12" s="35" t="s">
        <v>21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22</v>
      </c>
      <c r="B13" s="8"/>
      <c r="C13" s="8"/>
      <c r="D13" s="25" t="s">
        <v>17</v>
      </c>
      <c r="E13" s="36">
        <f>ROUND(D64*1.16666666666667,2)+H64</f>
        <v>23099.99667</v>
      </c>
      <c r="F13" s="37"/>
      <c r="G13" s="38">
        <f t="shared" ref="G13:H13" si="1">G11/30</f>
        <v>606.6666667</v>
      </c>
      <c r="H13" s="39">
        <f t="shared" si="1"/>
        <v>707.7777778</v>
      </c>
      <c r="I13" s="40">
        <f>+I11/30</f>
        <v>769.9998889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1" t="s">
        <v>23</v>
      </c>
      <c r="B14" s="42"/>
      <c r="C14" s="42"/>
      <c r="D14" s="42"/>
      <c r="E14" s="43"/>
      <c r="F14" s="43"/>
      <c r="G14" s="43"/>
      <c r="H14" s="43"/>
      <c r="I14" s="4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/>
      <c r="B15" s="8"/>
      <c r="C15" s="8"/>
      <c r="D15" s="8"/>
      <c r="E15" s="44"/>
      <c r="F15" s="44"/>
      <c r="G15" s="44"/>
      <c r="H15" s="44"/>
      <c r="I15" s="4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24</v>
      </c>
      <c r="B16" s="8"/>
      <c r="C16" s="8"/>
      <c r="D16" s="45">
        <f>IF(C17&lt;90,1,IF(C17&lt;180,7,IF(C17&lt;360,14,IF(C17&lt;720,30,IF(C17&gt;=720,60)))))</f>
        <v>30</v>
      </c>
      <c r="E16" s="46" t="s">
        <v>25</v>
      </c>
      <c r="F16" s="46" t="s">
        <v>26</v>
      </c>
      <c r="G16" s="44">
        <f>+I13</f>
        <v>769.9998889</v>
      </c>
      <c r="H16" s="44"/>
      <c r="I16" s="44">
        <f>G16*D16</f>
        <v>23099.99667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/>
      <c r="B17" s="8"/>
      <c r="C17" s="47">
        <f>DAYS360(E5,E7)+1</f>
        <v>664</v>
      </c>
      <c r="D17" s="48" t="s">
        <v>27</v>
      </c>
      <c r="E17" s="46"/>
      <c r="F17" s="44"/>
      <c r="G17" s="44"/>
      <c r="H17" s="44"/>
      <c r="I17" s="4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 t="s">
        <v>28</v>
      </c>
      <c r="B18" s="8"/>
      <c r="C18" s="8"/>
      <c r="D18" s="49">
        <f>IF(C17&lt;90,0,IF(C17&lt;180,10,IF(C17&lt;360,20,IF(C17&lt;5400,ROUND(C17*30/360,2),IF(C17&gt;=5400,450)))))</f>
        <v>55.33</v>
      </c>
      <c r="E18" s="46" t="s">
        <v>25</v>
      </c>
      <c r="F18" s="46" t="s">
        <v>26</v>
      </c>
      <c r="G18" s="44">
        <f>+I13</f>
        <v>769.9998889</v>
      </c>
      <c r="H18" s="44"/>
      <c r="I18" s="44">
        <f>G18*D18</f>
        <v>42604.09385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4"/>
      <c r="B19" s="8"/>
      <c r="C19" s="8"/>
      <c r="D19" s="8"/>
      <c r="E19" s="46"/>
      <c r="F19" s="44"/>
      <c r="G19" s="44"/>
      <c r="H19" s="44"/>
      <c r="I19" s="4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 t="s">
        <v>29</v>
      </c>
      <c r="B20" s="8"/>
      <c r="C20" s="49"/>
      <c r="D20" s="50" t="str">
        <f>+C20</f>
        <v/>
      </c>
      <c r="E20" s="46" t="s">
        <v>25</v>
      </c>
      <c r="F20" s="46" t="s">
        <v>26</v>
      </c>
      <c r="G20" s="44">
        <f>+H13</f>
        <v>707.7777778</v>
      </c>
      <c r="H20" s="44"/>
      <c r="I20" s="44">
        <f>+G20*D20</f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8"/>
      <c r="B21" s="8"/>
      <c r="C21" s="8"/>
      <c r="D21" s="51"/>
      <c r="E21" s="46"/>
      <c r="F21" s="46"/>
      <c r="G21" s="44"/>
      <c r="H21" s="44"/>
      <c r="I21" s="4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52" t="s">
        <v>30</v>
      </c>
      <c r="B22" s="52"/>
      <c r="C22" s="52"/>
      <c r="D22" s="51">
        <f>ROUND(C23*A24/360,2)</f>
        <v>18.44</v>
      </c>
      <c r="E22" s="46" t="s">
        <v>25</v>
      </c>
      <c r="F22" s="46" t="s">
        <v>26</v>
      </c>
      <c r="G22" s="44">
        <f>+H13</f>
        <v>707.7777778</v>
      </c>
      <c r="H22" s="44"/>
      <c r="I22" s="44">
        <f>D22*G22</f>
        <v>13051.42222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53">
        <v>42317.0</v>
      </c>
      <c r="B23" s="54">
        <f>E7</f>
        <v>42990</v>
      </c>
      <c r="C23" s="55">
        <f>DAYS360(A23,B23)+1</f>
        <v>664</v>
      </c>
      <c r="D23" s="3"/>
      <c r="E23" s="46"/>
      <c r="F23" s="46"/>
      <c r="G23" s="44"/>
      <c r="H23" s="44"/>
      <c r="I23" s="4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56">
        <v>10.0</v>
      </c>
      <c r="B24" s="57"/>
      <c r="C24" s="52"/>
      <c r="D24" s="8"/>
      <c r="E24" s="46"/>
      <c r="F24" s="46"/>
      <c r="G24" s="44"/>
      <c r="H24" s="44"/>
      <c r="I24" s="4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8" t="s">
        <v>31</v>
      </c>
      <c r="B25" s="8"/>
      <c r="C25" s="8"/>
      <c r="D25" s="50">
        <f>ROUND(C26*30/360,2)</f>
        <v>21</v>
      </c>
      <c r="E25" s="46" t="s">
        <v>25</v>
      </c>
      <c r="F25" s="46" t="s">
        <v>26</v>
      </c>
      <c r="G25" s="44">
        <f>+G13</f>
        <v>606.6666667</v>
      </c>
      <c r="H25" s="44"/>
      <c r="I25" s="44">
        <f>G25*D25</f>
        <v>12740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2">
        <v>42736.0</v>
      </c>
      <c r="B26" s="12">
        <f>+E7</f>
        <v>42990</v>
      </c>
      <c r="C26" s="58">
        <f>DAYS360(A26,B26)+1</f>
        <v>252</v>
      </c>
      <c r="D26" s="51"/>
      <c r="E26" s="46"/>
      <c r="F26" s="46"/>
      <c r="G26" s="44"/>
      <c r="H26" s="44"/>
      <c r="I26" s="4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59"/>
      <c r="B27" s="8"/>
      <c r="C27" s="8"/>
      <c r="D27" s="8"/>
      <c r="E27" s="46"/>
      <c r="F27" s="46"/>
      <c r="G27" s="44"/>
      <c r="H27" s="44"/>
      <c r="I27" s="4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8" t="s">
        <v>32</v>
      </c>
      <c r="B28" s="8"/>
      <c r="C28" s="8"/>
      <c r="D28" s="50">
        <f>ROUND(C29*30/360,2)</f>
        <v>6</v>
      </c>
      <c r="E28" s="46" t="s">
        <v>25</v>
      </c>
      <c r="F28" s="46" t="s">
        <v>26</v>
      </c>
      <c r="G28" s="44">
        <f>+G13</f>
        <v>606.6666667</v>
      </c>
      <c r="H28" s="44"/>
      <c r="I28" s="44">
        <f>G28*D28</f>
        <v>3640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2">
        <v>42917.0</v>
      </c>
      <c r="B29" s="60">
        <f>+E7</f>
        <v>42990</v>
      </c>
      <c r="C29" s="58">
        <f>DAYS360(A29,B29)+1</f>
        <v>72</v>
      </c>
      <c r="D29" s="51"/>
      <c r="E29" s="46"/>
      <c r="F29" s="46"/>
      <c r="G29" s="44"/>
      <c r="H29" s="44"/>
      <c r="I29" s="44"/>
      <c r="J29" s="3"/>
      <c r="K29" s="3"/>
      <c r="L29" s="3" t="s">
        <v>33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61" t="s">
        <v>20</v>
      </c>
      <c r="B30" s="61"/>
      <c r="C30" s="61"/>
      <c r="D30" s="61"/>
      <c r="E30" s="62"/>
      <c r="F30" s="62"/>
      <c r="G30" s="62"/>
      <c r="H30" s="62"/>
      <c r="I30" s="62">
        <f>SUM(I16:I28)</f>
        <v>95135.51274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8"/>
      <c r="B31" s="8"/>
      <c r="C31" s="8"/>
      <c r="D31" s="8"/>
      <c r="E31" s="44"/>
      <c r="F31" s="44"/>
      <c r="G31" s="44"/>
      <c r="H31" s="44"/>
      <c r="I31" s="4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34</v>
      </c>
      <c r="B32" s="8"/>
      <c r="C32" s="8"/>
      <c r="D32" s="3"/>
      <c r="E32" s="63"/>
      <c r="F32" s="44"/>
      <c r="G32" s="44"/>
      <c r="H32" s="64" t="s">
        <v>17</v>
      </c>
      <c r="I32" s="44">
        <f>SUM(I16:I28)</f>
        <v>95135.51274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8"/>
      <c r="B33" s="8"/>
      <c r="C33" s="8"/>
      <c r="D33" s="3"/>
      <c r="E33" s="63"/>
      <c r="F33" s="44"/>
      <c r="G33" s="44"/>
      <c r="H33" s="64"/>
      <c r="I33" s="4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65" t="s">
        <v>35</v>
      </c>
      <c r="B34" s="2"/>
      <c r="C34" s="8"/>
      <c r="D34" s="3"/>
      <c r="E34" s="63"/>
      <c r="F34" s="44"/>
      <c r="G34" s="44"/>
      <c r="H34" s="64"/>
      <c r="I34" s="4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8"/>
      <c r="B35" s="8" t="s">
        <v>36</v>
      </c>
      <c r="C35" s="8"/>
      <c r="D35" s="3"/>
      <c r="E35" s="63"/>
      <c r="F35" s="46"/>
      <c r="G35" s="44"/>
      <c r="H35" s="64"/>
      <c r="I35" s="6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8"/>
      <c r="B36" s="3"/>
      <c r="C36" s="8"/>
      <c r="D36" s="3"/>
      <c r="E36" s="63"/>
      <c r="F36" s="46"/>
      <c r="G36" s="44"/>
      <c r="H36" s="64"/>
      <c r="I36" s="6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8"/>
      <c r="B37" s="3"/>
      <c r="C37" s="8"/>
      <c r="D37" s="3"/>
      <c r="E37" s="63"/>
      <c r="F37" s="46"/>
      <c r="G37" s="44"/>
      <c r="H37" s="64"/>
      <c r="I37" s="66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65" t="s">
        <v>37</v>
      </c>
      <c r="B38" s="2"/>
      <c r="C38" s="8"/>
      <c r="D38" s="3"/>
      <c r="E38" s="63"/>
      <c r="F38" s="44"/>
      <c r="G38" s="44"/>
      <c r="H38" s="64"/>
      <c r="I38" s="4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67"/>
      <c r="B39" s="8" t="s">
        <v>38</v>
      </c>
      <c r="C39" s="8"/>
      <c r="D39" s="3"/>
      <c r="E39" s="63"/>
      <c r="F39" s="44"/>
      <c r="G39" s="44"/>
      <c r="H39" s="64"/>
      <c r="I39" s="4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8" t="s">
        <v>39</v>
      </c>
      <c r="C40" s="3"/>
      <c r="D40" s="3"/>
      <c r="E40" s="63"/>
      <c r="F40" s="44"/>
      <c r="G40" s="44"/>
      <c r="H40" s="64"/>
      <c r="I40" s="68">
        <v>-11574.96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8" t="s">
        <v>40</v>
      </c>
      <c r="C41" s="8"/>
      <c r="D41" s="3"/>
      <c r="E41" s="63"/>
      <c r="F41" s="44"/>
      <c r="G41" s="44"/>
      <c r="H41" s="64"/>
      <c r="I41" s="68">
        <v>-424.64</v>
      </c>
      <c r="J41" s="3"/>
      <c r="K41" s="3"/>
      <c r="L41" s="4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8" t="s">
        <v>41</v>
      </c>
      <c r="C42" s="8"/>
      <c r="D42" s="3"/>
      <c r="E42" s="63"/>
      <c r="F42" s="44"/>
      <c r="G42" s="44"/>
      <c r="H42" s="64"/>
      <c r="I42" s="68">
        <f>0</f>
        <v>0</v>
      </c>
      <c r="J42" s="3"/>
      <c r="K42" s="3"/>
      <c r="L42" s="4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8" t="s">
        <v>42</v>
      </c>
      <c r="C43" s="8"/>
      <c r="D43" s="3"/>
      <c r="E43" s="63"/>
      <c r="F43" s="44"/>
      <c r="G43" s="44"/>
      <c r="H43" s="64"/>
      <c r="I43" s="68">
        <v>-227.88</v>
      </c>
      <c r="J43" s="3"/>
      <c r="K43" s="3"/>
      <c r="L43" s="4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8" t="s">
        <v>43</v>
      </c>
      <c r="C44" s="8"/>
      <c r="D44" s="3"/>
      <c r="E44" s="63"/>
      <c r="F44" s="44"/>
      <c r="G44" s="44"/>
      <c r="H44" s="64"/>
      <c r="I44" s="68">
        <v>0.0</v>
      </c>
      <c r="J44" s="3"/>
      <c r="K44" s="3"/>
      <c r="L44" s="69">
        <f>113.87*2</f>
        <v>227.74</v>
      </c>
      <c r="M44" s="3" t="s">
        <v>44</v>
      </c>
      <c r="N44" s="3" t="s">
        <v>45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8" t="s">
        <v>46</v>
      </c>
      <c r="C45" s="8"/>
      <c r="D45" s="3"/>
      <c r="E45" s="63"/>
      <c r="F45" s="44"/>
      <c r="G45" s="44"/>
      <c r="H45" s="64"/>
      <c r="I45" s="68">
        <v>0.0</v>
      </c>
      <c r="J45" s="3"/>
      <c r="K45" s="3"/>
      <c r="L45" s="4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8"/>
      <c r="C46" s="8"/>
      <c r="E46" s="63"/>
      <c r="F46" s="44"/>
      <c r="G46" s="44"/>
      <c r="H46" s="64"/>
      <c r="I46" s="68"/>
      <c r="J46" s="3"/>
      <c r="K46" s="3"/>
      <c r="L46" s="4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67" t="s">
        <v>47</v>
      </c>
      <c r="B47" s="4"/>
      <c r="C47" s="4"/>
      <c r="D47" s="4"/>
      <c r="E47" s="70"/>
      <c r="F47" s="70"/>
      <c r="G47" s="70"/>
      <c r="H47" s="70"/>
      <c r="I47" s="4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63"/>
      <c r="F48" s="63"/>
      <c r="G48" s="63"/>
      <c r="H48" s="63"/>
      <c r="I48" s="6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0" t="s">
        <v>48</v>
      </c>
      <c r="B49" s="10"/>
      <c r="C49" s="13">
        <f>E7</f>
        <v>42990</v>
      </c>
      <c r="D49" s="3"/>
      <c r="E49" s="63"/>
      <c r="F49" s="44"/>
      <c r="G49" s="44"/>
      <c r="H49" s="64" t="s">
        <v>17</v>
      </c>
      <c r="I49" s="44">
        <f>SUM(I32:I48)</f>
        <v>82908.03274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0"/>
      <c r="B50" s="10"/>
      <c r="C50" s="13"/>
      <c r="D50" s="3"/>
      <c r="E50" s="63"/>
      <c r="F50" s="44"/>
      <c r="G50" s="44"/>
      <c r="H50" s="64"/>
      <c r="I50" s="4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8"/>
      <c r="B51" s="8"/>
      <c r="C51" s="8"/>
      <c r="D51" s="3"/>
      <c r="E51" s="63"/>
      <c r="F51" s="44"/>
      <c r="G51" s="44"/>
      <c r="H51" s="64"/>
      <c r="I51" s="4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71" t="s">
        <v>20</v>
      </c>
      <c r="B52" s="71"/>
      <c r="C52" s="71"/>
      <c r="D52" s="72"/>
      <c r="E52" s="73"/>
      <c r="F52" s="74"/>
      <c r="G52" s="74"/>
      <c r="H52" s="64" t="s">
        <v>17</v>
      </c>
      <c r="I52" s="74">
        <f>SUM(I49:I51)</f>
        <v>82908.03274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6"/>
      <c r="B53" s="8"/>
      <c r="C53" s="8"/>
      <c r="D53" s="6"/>
      <c r="E53" s="50"/>
      <c r="F53" s="8"/>
      <c r="G53" s="8"/>
      <c r="H53" s="8"/>
      <c r="I53" s="8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6"/>
      <c r="B55" s="8"/>
      <c r="C55" s="8"/>
      <c r="D55" s="6"/>
      <c r="E55" s="50"/>
      <c r="F55" s="8"/>
      <c r="G55" s="8"/>
      <c r="H55" s="3"/>
      <c r="I55" s="3"/>
      <c r="J55" s="3"/>
      <c r="K55" s="3"/>
      <c r="L55" s="75">
        <f>C64+G64</f>
        <v>120400</v>
      </c>
      <c r="M55" s="3"/>
      <c r="N55" s="3">
        <f>I35/15</f>
        <v>0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76" t="s">
        <v>49</v>
      </c>
      <c r="B56" s="3"/>
      <c r="C56" s="3"/>
      <c r="D56" s="3"/>
      <c r="E56" s="76" t="s">
        <v>50</v>
      </c>
      <c r="F56" s="3"/>
      <c r="G56" s="3"/>
      <c r="H56" s="3"/>
      <c r="I56" s="3"/>
      <c r="J56" s="3"/>
      <c r="K56" s="3"/>
      <c r="L56" s="63"/>
      <c r="M56" s="3"/>
      <c r="N56" s="3">
        <f>N55*2</f>
        <v>0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51</v>
      </c>
      <c r="B57" s="3">
        <v>2017.0</v>
      </c>
      <c r="C57" s="3">
        <v>0.0</v>
      </c>
      <c r="D57" s="3"/>
      <c r="E57" s="3" t="s">
        <v>51</v>
      </c>
      <c r="F57" s="3">
        <v>2017.0</v>
      </c>
      <c r="G57" s="77">
        <v>0.0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52</v>
      </c>
      <c r="B58" s="3">
        <v>2017.0</v>
      </c>
      <c r="C58" s="3">
        <v>18200.0</v>
      </c>
      <c r="D58" s="3"/>
      <c r="E58" s="3" t="s">
        <v>52</v>
      </c>
      <c r="F58" s="3">
        <v>2017.0</v>
      </c>
      <c r="G58" s="77">
        <v>5500.0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53</v>
      </c>
      <c r="B59" s="3">
        <v>2017.0</v>
      </c>
      <c r="C59" s="3">
        <v>18200.0</v>
      </c>
      <c r="D59" s="3"/>
      <c r="E59" s="3" t="s">
        <v>53</v>
      </c>
      <c r="F59" s="3">
        <v>2017.0</v>
      </c>
      <c r="G59" s="77">
        <v>0.0</v>
      </c>
      <c r="H59" s="3"/>
      <c r="I59" s="3"/>
      <c r="J59" s="78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54</v>
      </c>
      <c r="B60" s="3">
        <v>2017.0</v>
      </c>
      <c r="C60" s="3">
        <v>18200.0</v>
      </c>
      <c r="D60" s="3"/>
      <c r="E60" s="3" t="s">
        <v>54</v>
      </c>
      <c r="F60" s="3">
        <v>2017.0</v>
      </c>
      <c r="G60" s="77">
        <v>0.0</v>
      </c>
      <c r="H60" s="3"/>
      <c r="I60" s="3"/>
      <c r="J60" s="78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55</v>
      </c>
      <c r="B61" s="3">
        <v>2017.0</v>
      </c>
      <c r="C61" s="3">
        <v>18200.0</v>
      </c>
      <c r="D61" s="3"/>
      <c r="E61" s="3" t="s">
        <v>55</v>
      </c>
      <c r="F61" s="3">
        <v>2017.0</v>
      </c>
      <c r="G61" s="77">
        <v>5700.0</v>
      </c>
      <c r="H61" s="3"/>
      <c r="I61" s="3"/>
      <c r="J61" s="78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56</v>
      </c>
      <c r="B62" s="3">
        <v>2017.0</v>
      </c>
      <c r="C62" s="3">
        <v>18200.0</v>
      </c>
      <c r="D62" s="3"/>
      <c r="E62" s="3" t="s">
        <v>56</v>
      </c>
      <c r="F62" s="3">
        <v>2017.0</v>
      </c>
      <c r="G62" s="77">
        <v>0.0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57</v>
      </c>
      <c r="B63" s="3">
        <v>2017.0</v>
      </c>
      <c r="C63" s="3">
        <v>18200.0</v>
      </c>
      <c r="D63" s="3"/>
      <c r="E63" s="3" t="s">
        <v>57</v>
      </c>
      <c r="F63" s="3">
        <v>2017.0</v>
      </c>
      <c r="G63" s="77">
        <v>0.0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76" t="s">
        <v>58</v>
      </c>
      <c r="B64" s="76"/>
      <c r="C64" s="79">
        <f>SUM(C57:C63)</f>
        <v>109200</v>
      </c>
      <c r="D64" s="79">
        <f>(C64/6)*1</f>
        <v>18200</v>
      </c>
      <c r="E64" s="76" t="s">
        <v>58</v>
      </c>
      <c r="F64" s="76"/>
      <c r="G64" s="79">
        <f>SUM(G57:G63)</f>
        <v>11200</v>
      </c>
      <c r="H64" s="79">
        <f>(G64/180)*30</f>
        <v>1866.666667</v>
      </c>
      <c r="I64" s="3"/>
      <c r="J64" s="3"/>
      <c r="K64" s="80"/>
      <c r="L64" s="80"/>
      <c r="M64" s="80"/>
      <c r="N64" s="80"/>
      <c r="O64" s="8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80"/>
      <c r="L65" s="80"/>
      <c r="M65" s="80"/>
      <c r="N65" s="80"/>
      <c r="O65" s="8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80"/>
      <c r="L66" s="80"/>
      <c r="M66" s="80"/>
      <c r="N66" s="80"/>
      <c r="O66" s="8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80"/>
      <c r="L67" s="81">
        <f>+D64*1.16</f>
        <v>21112</v>
      </c>
      <c r="M67" s="81"/>
      <c r="N67" s="80"/>
      <c r="O67" s="8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80"/>
      <c r="L68" s="82">
        <f>+L67+H64</f>
        <v>22978.66667</v>
      </c>
      <c r="M68" s="81"/>
      <c r="N68" s="80"/>
      <c r="O68" s="8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80"/>
      <c r="L69" s="80"/>
      <c r="M69" s="80"/>
      <c r="N69" s="80"/>
      <c r="O69" s="8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83"/>
      <c r="B70" s="83"/>
      <c r="C70" s="83"/>
      <c r="D70" s="83"/>
      <c r="E70" s="83"/>
      <c r="F70" s="3"/>
      <c r="G70" s="3"/>
      <c r="H70" s="3"/>
      <c r="I70" s="3"/>
      <c r="J70" s="3"/>
      <c r="K70" s="80"/>
      <c r="L70" s="80"/>
      <c r="M70" s="80"/>
      <c r="N70" s="80"/>
      <c r="O70" s="8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84"/>
      <c r="B71" s="84"/>
      <c r="C71" s="21"/>
      <c r="D71" s="84"/>
      <c r="E71" s="84"/>
      <c r="F71" s="85"/>
      <c r="G71" s="84"/>
      <c r="H71" s="84"/>
      <c r="I71" s="85"/>
      <c r="J71" s="3"/>
      <c r="K71" s="80"/>
      <c r="L71" s="80"/>
      <c r="M71" s="80"/>
      <c r="N71" s="80"/>
      <c r="O71" s="8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86" t="s">
        <v>59</v>
      </c>
      <c r="B72" s="86"/>
      <c r="C72" s="85"/>
      <c r="D72" s="85" t="s">
        <v>60</v>
      </c>
      <c r="E72" s="85"/>
      <c r="F72" s="85"/>
      <c r="G72" s="85" t="s">
        <v>61</v>
      </c>
      <c r="H72" s="85"/>
      <c r="I72" s="85"/>
      <c r="J72" s="3"/>
      <c r="K72" s="80"/>
      <c r="L72" s="80"/>
      <c r="M72" s="80"/>
      <c r="N72" s="80"/>
      <c r="O72" s="8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85"/>
      <c r="B73" s="85"/>
      <c r="C73" s="85"/>
      <c r="D73" s="85"/>
      <c r="E73" s="85"/>
      <c r="F73" s="85"/>
      <c r="G73" s="85"/>
      <c r="H73" s="85"/>
      <c r="I73" s="85"/>
      <c r="J73" s="3"/>
      <c r="K73" s="80"/>
      <c r="L73" s="80"/>
      <c r="M73" s="80"/>
      <c r="N73" s="80"/>
      <c r="O73" s="8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85"/>
      <c r="B74" s="85"/>
      <c r="C74" s="85"/>
      <c r="D74" s="85"/>
      <c r="E74" s="85"/>
      <c r="F74" s="85"/>
      <c r="G74" s="85"/>
      <c r="H74" s="85"/>
      <c r="I74" s="85"/>
      <c r="J74" s="3"/>
      <c r="K74" s="80"/>
      <c r="L74" s="80"/>
      <c r="M74" s="80"/>
      <c r="N74" s="80"/>
      <c r="O74" s="8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85"/>
      <c r="B75" s="85"/>
      <c r="C75" s="85"/>
      <c r="D75" s="85"/>
      <c r="E75" s="85"/>
      <c r="F75" s="85"/>
      <c r="G75" s="85"/>
      <c r="H75" s="85"/>
      <c r="I75" s="85"/>
      <c r="J75" s="3"/>
      <c r="K75" s="80"/>
      <c r="L75" s="80"/>
      <c r="M75" s="80"/>
      <c r="N75" s="80"/>
      <c r="O75" s="8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85"/>
      <c r="B76" s="85"/>
      <c r="C76" s="85"/>
      <c r="D76" s="85"/>
      <c r="E76" s="85"/>
      <c r="F76" s="85"/>
      <c r="G76" s="85"/>
      <c r="H76" s="85"/>
      <c r="I76" s="85"/>
      <c r="J76" s="3"/>
      <c r="K76" s="80"/>
      <c r="L76" s="80"/>
      <c r="M76" s="80"/>
      <c r="N76" s="80"/>
      <c r="O76" s="8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85"/>
      <c r="B77" s="85"/>
      <c r="C77" s="85"/>
      <c r="D77" s="85"/>
      <c r="E77" s="85"/>
      <c r="F77" s="85"/>
      <c r="G77" s="85"/>
      <c r="H77" s="85"/>
      <c r="I77" s="85"/>
      <c r="J77" s="3"/>
      <c r="K77" s="80"/>
      <c r="L77" s="80"/>
      <c r="M77" s="80"/>
      <c r="N77" s="80"/>
      <c r="O77" s="8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80"/>
      <c r="L78" s="80"/>
      <c r="M78" s="80"/>
      <c r="N78" s="80"/>
      <c r="O78" s="8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87"/>
      <c r="G82" s="3"/>
      <c r="H82" s="3"/>
      <c r="I82" s="87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34:B34"/>
    <mergeCell ref="A38:B38"/>
  </mergeCells>
  <printOptions/>
  <pageMargins bottom="0.75" footer="0.0" header="0.0" left="0.7" right="0.7" top="0.75"/>
  <pageSetup paperSize="9" scale="55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19.29"/>
    <col customWidth="1" min="3" max="3" width="14.43"/>
    <col customWidth="1" min="4" max="4" width="11.14"/>
    <col customWidth="1" min="5" max="5" width="14.71"/>
    <col customWidth="1" min="6" max="6" width="10.71"/>
    <col customWidth="1" min="7" max="7" width="14.71"/>
    <col customWidth="1" min="8" max="8" width="19.71"/>
    <col customWidth="1" min="9" max="9" width="16.71"/>
    <col customWidth="1" min="10" max="10" width="33.86"/>
    <col customWidth="1" min="11" max="11" width="12.86"/>
    <col customWidth="1" min="12" max="12" width="13.43"/>
    <col customWidth="1" min="13" max="24" width="10.71"/>
  </cols>
  <sheetData>
    <row r="1">
      <c r="A1" s="88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</row>
    <row r="2">
      <c r="A2" s="4"/>
      <c r="B2" s="5"/>
      <c r="C2" s="5"/>
      <c r="D2" s="5"/>
      <c r="E2" s="5"/>
      <c r="F2" s="5"/>
      <c r="G2" s="5"/>
      <c r="H2" s="6"/>
      <c r="I2" s="7"/>
      <c r="J2" s="3"/>
      <c r="K2" s="3"/>
      <c r="L2" s="3"/>
      <c r="M2" s="3"/>
      <c r="N2" s="3"/>
    </row>
    <row r="3">
      <c r="A3" s="8" t="s">
        <v>2</v>
      </c>
      <c r="B3" s="8"/>
      <c r="C3" s="8"/>
      <c r="D3" s="9" t="s">
        <v>62</v>
      </c>
      <c r="E3" s="3"/>
      <c r="F3" s="10"/>
      <c r="G3" s="10"/>
      <c r="H3" s="10" t="s">
        <v>63</v>
      </c>
      <c r="I3" s="11"/>
      <c r="J3" s="3"/>
      <c r="K3" s="3"/>
      <c r="L3" s="3"/>
      <c r="M3" s="3"/>
      <c r="N3" s="3"/>
    </row>
    <row r="4">
      <c r="A4" s="8"/>
      <c r="B4" s="8"/>
      <c r="C4" s="8"/>
      <c r="D4" s="8"/>
      <c r="E4" s="8"/>
      <c r="F4" s="8"/>
      <c r="G4" s="8"/>
      <c r="H4" s="8" t="s">
        <v>64</v>
      </c>
      <c r="I4" s="89" t="s">
        <v>65</v>
      </c>
      <c r="J4" s="8"/>
      <c r="K4" s="3"/>
      <c r="L4" s="90"/>
      <c r="M4" s="3"/>
      <c r="N4" s="3"/>
    </row>
    <row r="5">
      <c r="A5" s="8" t="s">
        <v>5</v>
      </c>
      <c r="B5" s="8"/>
      <c r="C5" s="8"/>
      <c r="D5" s="8"/>
      <c r="E5" s="91">
        <v>45383.0</v>
      </c>
      <c r="F5" s="8"/>
      <c r="G5" s="8"/>
      <c r="H5" s="8"/>
      <c r="I5" s="8"/>
      <c r="J5" s="3"/>
      <c r="K5" s="3"/>
      <c r="L5" s="3"/>
      <c r="M5" s="3"/>
      <c r="N5" s="3"/>
    </row>
    <row r="6">
      <c r="A6" s="8"/>
      <c r="B6" s="8"/>
      <c r="C6" s="8"/>
      <c r="D6" s="8"/>
      <c r="E6" s="13"/>
      <c r="F6" s="8"/>
      <c r="G6" s="8"/>
      <c r="H6" s="8"/>
      <c r="I6" s="8"/>
      <c r="J6" s="3"/>
      <c r="K6" s="3"/>
      <c r="L6" s="3"/>
      <c r="M6" s="3"/>
      <c r="N6" s="3"/>
    </row>
    <row r="7">
      <c r="A7" s="8" t="s">
        <v>7</v>
      </c>
      <c r="B7" s="8"/>
      <c r="C7" s="8"/>
      <c r="D7" s="8"/>
      <c r="E7" s="91">
        <v>46027.0</v>
      </c>
      <c r="F7" s="8"/>
      <c r="G7" s="8"/>
      <c r="H7" s="8"/>
      <c r="I7" s="3"/>
      <c r="J7" s="3"/>
      <c r="K7" s="3"/>
      <c r="L7" s="3"/>
      <c r="M7" s="3"/>
      <c r="N7" s="3"/>
    </row>
    <row r="8">
      <c r="A8" s="8"/>
      <c r="B8" s="8"/>
      <c r="C8" s="8"/>
      <c r="D8" s="8"/>
      <c r="E8" s="8"/>
      <c r="F8" s="8">
        <f>D9*360</f>
        <v>360</v>
      </c>
      <c r="G8" s="14">
        <f>C17-F8</f>
        <v>274</v>
      </c>
      <c r="H8" s="8"/>
      <c r="I8" s="8"/>
      <c r="J8" s="3"/>
      <c r="K8" s="3"/>
      <c r="L8" s="3"/>
      <c r="M8" s="3"/>
      <c r="N8" s="3"/>
    </row>
    <row r="9">
      <c r="A9" s="8" t="s">
        <v>8</v>
      </c>
      <c r="B9" s="8"/>
      <c r="C9" s="8"/>
      <c r="D9" s="15">
        <f>ROUND(C17/360-0.49,0)</f>
        <v>1</v>
      </c>
      <c r="E9" s="16" t="s">
        <v>9</v>
      </c>
      <c r="F9" s="16">
        <f>ROUND(G8/30-0.49,0)</f>
        <v>9</v>
      </c>
      <c r="G9" s="16" t="s">
        <v>10</v>
      </c>
      <c r="H9" s="17">
        <f>C17-F8-F9*30</f>
        <v>4</v>
      </c>
      <c r="I9" s="18" t="s">
        <v>11</v>
      </c>
      <c r="J9" s="3"/>
      <c r="K9" s="3"/>
      <c r="L9" s="3"/>
      <c r="M9" s="3"/>
      <c r="N9" s="3"/>
    </row>
    <row r="10">
      <c r="A10" s="8"/>
      <c r="B10" s="8"/>
      <c r="C10" s="6"/>
      <c r="D10" s="19"/>
      <c r="E10" s="92" t="s">
        <v>12</v>
      </c>
      <c r="F10" s="21"/>
      <c r="G10" s="22" t="s">
        <v>13</v>
      </c>
      <c r="H10" s="23" t="s">
        <v>14</v>
      </c>
      <c r="I10" s="24" t="s">
        <v>15</v>
      </c>
      <c r="J10" s="3"/>
      <c r="K10" s="3"/>
      <c r="L10" s="3"/>
      <c r="M10" s="3"/>
      <c r="N10" s="3"/>
    </row>
    <row r="11">
      <c r="A11" s="8" t="s">
        <v>16</v>
      </c>
      <c r="B11" s="8"/>
      <c r="C11" s="8"/>
      <c r="D11" s="25" t="s">
        <v>17</v>
      </c>
      <c r="E11" s="93">
        <v>26400.0</v>
      </c>
      <c r="F11" s="27"/>
      <c r="G11" s="94">
        <f>+D60</f>
        <v>24800</v>
      </c>
      <c r="H11" s="95">
        <f>D60*1.16666666666667</f>
        <v>28933.33333</v>
      </c>
      <c r="I11" s="36">
        <f>E13</f>
        <v>28933.33</v>
      </c>
      <c r="J11" s="3"/>
      <c r="K11" s="3"/>
      <c r="L11" s="3"/>
      <c r="M11" s="3"/>
      <c r="N11" s="3"/>
    </row>
    <row r="12">
      <c r="A12" s="8"/>
      <c r="B12" s="8"/>
      <c r="C12" s="6" t="s">
        <v>18</v>
      </c>
      <c r="D12" s="31"/>
      <c r="E12" s="32" t="s">
        <v>19</v>
      </c>
      <c r="F12" s="27"/>
      <c r="G12" s="33" t="s">
        <v>20</v>
      </c>
      <c r="H12" s="34" t="s">
        <v>20</v>
      </c>
      <c r="I12" s="35" t="s">
        <v>21</v>
      </c>
      <c r="J12" s="3"/>
      <c r="K12" s="3"/>
      <c r="L12" s="3"/>
      <c r="M12" s="3"/>
      <c r="N12" s="3"/>
    </row>
    <row r="13">
      <c r="A13" s="8" t="s">
        <v>22</v>
      </c>
      <c r="B13" s="8"/>
      <c r="C13" s="8"/>
      <c r="D13" s="25" t="s">
        <v>17</v>
      </c>
      <c r="E13" s="36">
        <f>ROUND(D60*1.16666666666667,2)+H60</f>
        <v>28933.33</v>
      </c>
      <c r="F13" s="37"/>
      <c r="G13" s="38">
        <f t="shared" ref="G13:H13" si="1">G11/30</f>
        <v>826.6666667</v>
      </c>
      <c r="H13" s="39">
        <f t="shared" si="1"/>
        <v>964.4444444</v>
      </c>
      <c r="I13" s="40">
        <f>+I11/30</f>
        <v>964.4443333</v>
      </c>
      <c r="J13" s="3"/>
      <c r="K13" s="3"/>
      <c r="L13" s="3"/>
      <c r="M13" s="3"/>
      <c r="N13" s="3"/>
    </row>
    <row r="14">
      <c r="A14" s="41" t="s">
        <v>23</v>
      </c>
      <c r="B14" s="42"/>
      <c r="C14" s="42"/>
      <c r="D14" s="42"/>
      <c r="E14" s="43"/>
      <c r="F14" s="43"/>
      <c r="G14" s="43"/>
      <c r="H14" s="43"/>
      <c r="I14" s="43"/>
      <c r="J14" s="3"/>
      <c r="K14" s="3"/>
      <c r="L14" s="3"/>
      <c r="M14" s="3"/>
      <c r="N14" s="3"/>
    </row>
    <row r="15">
      <c r="A15" s="8"/>
      <c r="B15" s="8"/>
      <c r="C15" s="8"/>
      <c r="D15" s="8"/>
      <c r="E15" s="44"/>
      <c r="F15" s="44"/>
      <c r="G15" s="44"/>
      <c r="H15" s="44"/>
      <c r="I15" s="44"/>
      <c r="J15" s="3"/>
      <c r="K15" s="3"/>
      <c r="L15" s="3"/>
      <c r="M15" s="3"/>
      <c r="N15" s="3"/>
    </row>
    <row r="16" ht="46.5" customHeight="1">
      <c r="A16" s="8" t="s">
        <v>24</v>
      </c>
      <c r="B16" s="8"/>
      <c r="C16" s="8"/>
      <c r="D16" s="96">
        <f>ABS(E7 - TODAY())</f>
        <v>35</v>
      </c>
      <c r="E16" s="46" t="s">
        <v>25</v>
      </c>
      <c r="F16" s="46" t="s">
        <v>26</v>
      </c>
      <c r="G16" s="44">
        <f>+I13</f>
        <v>964.4443333</v>
      </c>
      <c r="H16" s="44"/>
      <c r="I16" s="44">
        <f>G16*D16</f>
        <v>33755.55167</v>
      </c>
      <c r="J16" s="97" t="s">
        <v>66</v>
      </c>
      <c r="K16" s="3"/>
      <c r="L16" s="3"/>
      <c r="M16" s="3"/>
      <c r="N16" s="3"/>
    </row>
    <row r="17">
      <c r="A17" s="8"/>
      <c r="B17" s="8"/>
      <c r="C17" s="47">
        <f>(YEAR(E7) - YEAR(E5)) * 360 + (MONTH(E7) - MONTH(E5)) * 30 + (DAY(E7) - DAY(E5))</f>
        <v>634</v>
      </c>
      <c r="D17" s="48" t="s">
        <v>27</v>
      </c>
      <c r="E17" s="46"/>
      <c r="F17" s="44"/>
      <c r="G17" s="44"/>
      <c r="H17" s="44"/>
      <c r="I17" s="44"/>
      <c r="J17" s="3"/>
      <c r="K17" s="3"/>
      <c r="L17" s="3"/>
      <c r="M17" s="3"/>
      <c r="N17" s="3"/>
    </row>
    <row r="18">
      <c r="A18" s="8" t="s">
        <v>28</v>
      </c>
      <c r="B18" s="8"/>
      <c r="C18" s="8"/>
      <c r="D18" s="98">
        <f>(F8*30)/360</f>
        <v>30</v>
      </c>
      <c r="E18" s="46" t="s">
        <v>25</v>
      </c>
      <c r="F18" s="46" t="s">
        <v>26</v>
      </c>
      <c r="G18" s="44">
        <f>+I13</f>
        <v>964.4443333</v>
      </c>
      <c r="H18" s="44"/>
      <c r="I18" s="44">
        <f t="shared" ref="I18:I19" si="2">G18*D18</f>
        <v>28933.33</v>
      </c>
      <c r="J18" s="3"/>
      <c r="K18" s="3"/>
      <c r="L18" s="3"/>
      <c r="M18" s="3"/>
      <c r="N18" s="3"/>
    </row>
    <row r="19">
      <c r="A19" s="8" t="s">
        <v>67</v>
      </c>
      <c r="B19" s="8"/>
      <c r="C19" s="8"/>
      <c r="D19" s="49">
        <f>(G8*30)/360</f>
        <v>22.83333333</v>
      </c>
      <c r="E19" s="46" t="s">
        <v>25</v>
      </c>
      <c r="F19" s="46" t="s">
        <v>26</v>
      </c>
      <c r="G19" s="44">
        <f>+I13</f>
        <v>964.4443333</v>
      </c>
      <c r="H19" s="44"/>
      <c r="I19" s="44">
        <f t="shared" si="2"/>
        <v>22021.47894</v>
      </c>
      <c r="J19" s="3"/>
      <c r="K19" s="3"/>
      <c r="L19" s="3"/>
      <c r="M19" s="3"/>
      <c r="N19" s="3"/>
    </row>
    <row r="20">
      <c r="A20" s="8"/>
      <c r="B20" s="8"/>
      <c r="C20" s="8"/>
      <c r="D20" s="50"/>
      <c r="E20" s="46"/>
      <c r="F20" s="44"/>
      <c r="G20" s="44"/>
      <c r="H20" s="44"/>
      <c r="I20" s="44"/>
      <c r="J20" s="3"/>
      <c r="K20" s="3"/>
      <c r="L20" s="3"/>
      <c r="M20" s="3"/>
      <c r="N20" s="3"/>
    </row>
    <row r="21" ht="15.75" customHeight="1">
      <c r="A21" s="14"/>
      <c r="B21" s="8"/>
      <c r="C21" s="8"/>
      <c r="D21" s="8"/>
      <c r="E21" s="46"/>
      <c r="F21" s="44"/>
      <c r="G21" s="44"/>
      <c r="H21" s="44"/>
      <c r="I21" s="44"/>
      <c r="J21" s="3"/>
      <c r="K21" s="3"/>
      <c r="L21" s="3"/>
      <c r="M21" s="3"/>
      <c r="N21" s="3"/>
    </row>
    <row r="22" ht="15.75" customHeight="1">
      <c r="A22" s="99" t="s">
        <v>29</v>
      </c>
      <c r="B22" s="8"/>
      <c r="C22" s="98">
        <v>7.0</v>
      </c>
      <c r="D22" s="50">
        <f>+C22</f>
        <v>7</v>
      </c>
      <c r="E22" s="46" t="s">
        <v>25</v>
      </c>
      <c r="F22" s="46" t="s">
        <v>26</v>
      </c>
      <c r="G22" s="44">
        <f>+H13</f>
        <v>964.4444444</v>
      </c>
      <c r="H22" s="44"/>
      <c r="I22" s="44">
        <f>+G22*D22</f>
        <v>6751.111111</v>
      </c>
      <c r="J22" s="3"/>
      <c r="K22" s="3"/>
      <c r="L22" s="3"/>
      <c r="M22" s="3"/>
      <c r="N22" s="3"/>
    </row>
    <row r="23" ht="15.75" customHeight="1">
      <c r="A23" s="8"/>
      <c r="B23" s="8"/>
      <c r="C23" s="8"/>
      <c r="D23" s="51"/>
      <c r="E23" s="46"/>
      <c r="F23" s="46"/>
      <c r="G23" s="44"/>
      <c r="H23" s="44"/>
      <c r="I23" s="44"/>
      <c r="J23" s="3"/>
      <c r="K23" s="3"/>
      <c r="L23" s="3"/>
      <c r="M23" s="3"/>
      <c r="N23" s="3"/>
    </row>
    <row r="24" ht="15.75" customHeight="1">
      <c r="A24" s="99" t="s">
        <v>30</v>
      </c>
      <c r="B24" s="100"/>
      <c r="C24" s="52"/>
      <c r="D24" s="51">
        <f>ROUND(C25*A26/360,2)</f>
        <v>11.46</v>
      </c>
      <c r="E24" s="46" t="s">
        <v>25</v>
      </c>
      <c r="F24" s="46" t="s">
        <v>26</v>
      </c>
      <c r="G24" s="44">
        <f>H13</f>
        <v>964.4444444</v>
      </c>
      <c r="H24" s="44"/>
      <c r="I24" s="44">
        <f>D24*G24</f>
        <v>11052.53333</v>
      </c>
      <c r="J24" s="3"/>
      <c r="K24" s="3"/>
      <c r="L24" s="3"/>
      <c r="M24" s="3"/>
      <c r="N24" s="3"/>
    </row>
    <row r="25" ht="15.75" customHeight="1">
      <c r="A25" s="101">
        <v>45748.0</v>
      </c>
      <c r="B25" s="54">
        <f>E7</f>
        <v>46027</v>
      </c>
      <c r="C25" s="55">
        <f>DAYS360(A25,B25)+1</f>
        <v>275</v>
      </c>
      <c r="D25" s="3"/>
      <c r="E25" s="46"/>
      <c r="F25" s="46"/>
      <c r="G25" s="44"/>
      <c r="H25" s="44"/>
      <c r="I25" s="44"/>
      <c r="J25" s="3"/>
      <c r="K25" s="3"/>
      <c r="L25" s="3"/>
      <c r="M25" s="3"/>
      <c r="N25" s="3"/>
    </row>
    <row r="26" ht="15.75" customHeight="1">
      <c r="A26" s="102">
        <v>15.0</v>
      </c>
      <c r="B26" s="57"/>
      <c r="C26" s="52"/>
      <c r="D26" s="8"/>
      <c r="E26" s="46"/>
      <c r="F26" s="46"/>
      <c r="G26" s="44"/>
      <c r="H26" s="44"/>
      <c r="I26" s="44"/>
      <c r="J26" s="3"/>
      <c r="K26" s="3"/>
      <c r="L26" s="3"/>
      <c r="M26" s="3"/>
      <c r="N26" s="3"/>
    </row>
    <row r="27" ht="15.75" customHeight="1">
      <c r="A27" s="99" t="s">
        <v>31</v>
      </c>
      <c r="B27" s="99"/>
      <c r="C27" s="8"/>
      <c r="D27" s="50">
        <f>ROUND(C28*30/360,2)</f>
        <v>30.42</v>
      </c>
      <c r="E27" s="46" t="s">
        <v>25</v>
      </c>
      <c r="F27" s="46" t="s">
        <v>26</v>
      </c>
      <c r="G27" s="44">
        <f>+G13</f>
        <v>826.6666667</v>
      </c>
      <c r="H27" s="44"/>
      <c r="I27" s="44">
        <f>G27*D27</f>
        <v>25147.2</v>
      </c>
      <c r="J27" s="3"/>
      <c r="K27" s="3"/>
      <c r="L27" s="3"/>
      <c r="M27" s="3"/>
      <c r="N27" s="3"/>
    </row>
    <row r="28" ht="15.75" customHeight="1">
      <c r="A28" s="101" t="str">
        <f>"01/01/" &amp; YEAR(TODAY())</f>
        <v>01/01/2025</v>
      </c>
      <c r="B28" s="12">
        <f>+E7</f>
        <v>46027</v>
      </c>
      <c r="C28" s="58">
        <f>DAYS360(A28,B28)+1</f>
        <v>365</v>
      </c>
      <c r="D28" s="51"/>
      <c r="E28" s="46"/>
      <c r="F28" s="46"/>
      <c r="G28" s="44"/>
      <c r="H28" s="44"/>
      <c r="I28" s="44"/>
      <c r="J28" s="3"/>
      <c r="K28" s="3"/>
      <c r="L28" s="3"/>
      <c r="M28" s="3"/>
      <c r="N28" s="3"/>
    </row>
    <row r="29" ht="15.75" customHeight="1">
      <c r="A29" s="103"/>
      <c r="B29" s="8"/>
      <c r="C29" s="8"/>
      <c r="D29" s="8"/>
      <c r="E29" s="46"/>
      <c r="F29" s="46"/>
      <c r="G29" s="44"/>
      <c r="H29" s="44"/>
      <c r="I29" s="44"/>
      <c r="J29" s="3"/>
      <c r="K29" s="3"/>
      <c r="L29" s="3"/>
      <c r="M29" s="3"/>
      <c r="N29" s="3"/>
    </row>
    <row r="30" ht="15.75" customHeight="1">
      <c r="A30" s="99" t="s">
        <v>32</v>
      </c>
      <c r="B30" s="99"/>
      <c r="C30" s="8"/>
      <c r="D30" s="50">
        <f>ROUND(C31*30/360,2)</f>
        <v>15.42</v>
      </c>
      <c r="E30" s="46" t="s">
        <v>25</v>
      </c>
      <c r="F30" s="46" t="s">
        <v>26</v>
      </c>
      <c r="G30" s="44">
        <f>+G13</f>
        <v>826.6666667</v>
      </c>
      <c r="H30" s="44"/>
      <c r="I30" s="44">
        <f>G30*D30</f>
        <v>12747.2</v>
      </c>
      <c r="J30" s="3"/>
      <c r="K30" s="3"/>
      <c r="L30" s="3"/>
      <c r="M30" s="3"/>
      <c r="N30" s="3"/>
    </row>
    <row r="31" ht="15.75" customHeight="1">
      <c r="A31" s="101">
        <f>DATE(YEAR(TODAY()), 7, 1)</f>
        <v>45839</v>
      </c>
      <c r="B31" s="60">
        <f>+E7</f>
        <v>46027</v>
      </c>
      <c r="C31" s="58">
        <f>DAYS360(A31,B31)+1</f>
        <v>185</v>
      </c>
      <c r="D31" s="50"/>
      <c r="E31" s="46"/>
      <c r="F31" s="46"/>
      <c r="G31" s="44"/>
      <c r="H31" s="44"/>
      <c r="I31" s="44"/>
      <c r="J31" s="3"/>
      <c r="K31" s="3"/>
      <c r="L31" s="3"/>
      <c r="M31" s="3"/>
      <c r="N31" s="3"/>
    </row>
    <row r="32" ht="15.75" customHeight="1">
      <c r="A32" s="61" t="s">
        <v>20</v>
      </c>
      <c r="B32" s="61"/>
      <c r="C32" s="61"/>
      <c r="D32" s="61"/>
      <c r="E32" s="62"/>
      <c r="F32" s="62"/>
      <c r="G32" s="62"/>
      <c r="H32" s="62"/>
      <c r="I32" s="62">
        <f>SUM(I16:I30)</f>
        <v>140408.4051</v>
      </c>
      <c r="J32" s="3"/>
      <c r="K32" s="3"/>
      <c r="L32" s="3"/>
      <c r="M32" s="3"/>
      <c r="N32" s="3"/>
    </row>
    <row r="33" ht="15.75" customHeight="1">
      <c r="A33" s="8"/>
      <c r="B33" s="8"/>
      <c r="C33" s="8"/>
      <c r="D33" s="8"/>
      <c r="E33" s="44"/>
      <c r="F33" s="44"/>
      <c r="G33" s="44"/>
      <c r="H33" s="44"/>
      <c r="I33" s="44"/>
      <c r="J33" s="3"/>
      <c r="K33" s="3"/>
      <c r="L33" s="3"/>
      <c r="M33" s="3"/>
      <c r="N33" s="3"/>
    </row>
    <row r="34" ht="15.75" customHeight="1">
      <c r="A34" s="8" t="s">
        <v>34</v>
      </c>
      <c r="B34" s="8"/>
      <c r="C34" s="8"/>
      <c r="D34" s="3"/>
      <c r="E34" s="63"/>
      <c r="F34" s="44"/>
      <c r="G34" s="44"/>
      <c r="H34" s="64" t="s">
        <v>17</v>
      </c>
      <c r="I34" s="104">
        <f>SUM(I16:I30)</f>
        <v>140408.4051</v>
      </c>
      <c r="J34" s="3"/>
      <c r="K34" s="3"/>
      <c r="L34" s="3"/>
      <c r="M34" s="3"/>
      <c r="N34" s="3"/>
    </row>
    <row r="35" ht="15.75" customHeight="1">
      <c r="A35" s="8"/>
      <c r="B35" s="8"/>
      <c r="C35" s="8"/>
      <c r="D35" s="3"/>
      <c r="E35" s="63"/>
      <c r="F35" s="44"/>
      <c r="G35" s="44"/>
      <c r="H35" s="64"/>
      <c r="I35" s="44"/>
      <c r="J35" s="3"/>
      <c r="K35" s="3"/>
      <c r="L35" s="3"/>
      <c r="M35" s="3"/>
      <c r="N35" s="3"/>
    </row>
    <row r="36" ht="15.75" customHeight="1">
      <c r="A36" s="65" t="s">
        <v>35</v>
      </c>
      <c r="B36" s="2"/>
      <c r="C36" s="8"/>
      <c r="D36" s="3"/>
      <c r="E36" s="63"/>
      <c r="F36" s="44"/>
      <c r="G36" s="44"/>
      <c r="H36" s="64"/>
      <c r="I36" s="44"/>
      <c r="J36" s="3"/>
      <c r="K36" s="3"/>
      <c r="L36" s="3"/>
      <c r="M36" s="3"/>
      <c r="N36" s="3"/>
    </row>
    <row r="37" ht="15.75" customHeight="1">
      <c r="A37" s="8"/>
      <c r="B37" s="52" t="s">
        <v>68</v>
      </c>
      <c r="C37" s="8"/>
      <c r="D37" s="3"/>
      <c r="E37" s="63"/>
      <c r="F37" s="46"/>
      <c r="G37" s="44"/>
      <c r="H37" s="64"/>
      <c r="I37" s="64">
        <v>0.0</v>
      </c>
      <c r="J37" s="3"/>
      <c r="K37" s="3"/>
      <c r="L37" s="3"/>
      <c r="M37" s="3"/>
      <c r="N37" s="3"/>
    </row>
    <row r="38" ht="15.75" customHeight="1">
      <c r="A38" s="8"/>
      <c r="B38" s="3"/>
      <c r="C38" s="8"/>
      <c r="D38" s="3"/>
      <c r="E38" s="63"/>
      <c r="F38" s="46"/>
      <c r="G38" s="44"/>
      <c r="H38" s="64"/>
      <c r="I38" s="64"/>
      <c r="J38" s="3"/>
      <c r="K38" s="3"/>
      <c r="L38" s="3"/>
      <c r="M38" s="3"/>
      <c r="N38" s="3"/>
    </row>
    <row r="39" ht="15.75" customHeight="1">
      <c r="A39" s="8"/>
      <c r="B39" s="3"/>
      <c r="C39" s="8"/>
      <c r="D39" s="3"/>
      <c r="E39" s="63"/>
      <c r="F39" s="46"/>
      <c r="G39" s="44"/>
      <c r="H39" s="64"/>
      <c r="I39" s="66"/>
      <c r="J39" s="3"/>
      <c r="K39" s="3"/>
      <c r="L39" s="44"/>
      <c r="M39" s="3"/>
      <c r="N39" s="3"/>
    </row>
    <row r="40" ht="15.75" customHeight="1">
      <c r="A40" s="65" t="s">
        <v>37</v>
      </c>
      <c r="B40" s="2"/>
      <c r="C40" s="8"/>
      <c r="D40" s="3"/>
      <c r="E40" s="63"/>
      <c r="F40" s="44"/>
      <c r="G40" s="44"/>
      <c r="H40" s="64"/>
      <c r="I40" s="44"/>
      <c r="J40" s="3"/>
      <c r="K40" s="3"/>
      <c r="L40" s="44"/>
      <c r="M40" s="3"/>
      <c r="N40" s="3"/>
    </row>
    <row r="41" ht="15.75" customHeight="1">
      <c r="A41" s="3"/>
      <c r="B41" s="8" t="s">
        <v>69</v>
      </c>
      <c r="C41" s="8"/>
      <c r="D41" s="3"/>
      <c r="E41" s="63"/>
      <c r="F41" s="44"/>
      <c r="G41" s="44"/>
      <c r="H41" s="64"/>
      <c r="I41" s="68">
        <v>0.0</v>
      </c>
      <c r="J41" s="3"/>
      <c r="K41" s="3"/>
      <c r="L41" s="44"/>
      <c r="M41" s="105"/>
      <c r="N41" s="105"/>
    </row>
    <row r="42" ht="171.0" customHeight="1">
      <c r="A42" s="3"/>
      <c r="B42" s="8" t="s">
        <v>70</v>
      </c>
      <c r="C42" s="8"/>
      <c r="D42" s="3"/>
      <c r="E42" s="63"/>
      <c r="F42" s="44"/>
      <c r="G42" s="44"/>
      <c r="H42" s="64"/>
      <c r="I42" s="106">
        <f>H11</f>
        <v>28933.33333</v>
      </c>
      <c r="J42" s="97" t="s">
        <v>71</v>
      </c>
      <c r="K42" s="107"/>
      <c r="L42" s="108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</row>
    <row r="43" ht="15.75" customHeight="1">
      <c r="A43" s="3"/>
      <c r="B43" s="8"/>
      <c r="C43" s="8"/>
      <c r="E43" s="63"/>
      <c r="F43" s="44"/>
      <c r="G43" s="44"/>
      <c r="H43" s="64"/>
      <c r="I43" s="68"/>
      <c r="J43" s="3"/>
      <c r="K43" s="105"/>
      <c r="L43" s="109"/>
      <c r="M43" s="105"/>
      <c r="N43" s="105"/>
      <c r="O43" s="109"/>
      <c r="P43" s="109"/>
      <c r="Q43" s="109"/>
      <c r="R43" s="109"/>
      <c r="S43" s="109"/>
      <c r="T43" s="109"/>
      <c r="U43" s="109"/>
      <c r="V43" s="109"/>
      <c r="W43" s="109"/>
      <c r="X43" s="109"/>
    </row>
    <row r="44" ht="15.75" customHeight="1">
      <c r="A44" s="67" t="s">
        <v>47</v>
      </c>
      <c r="B44" s="4"/>
      <c r="C44" s="4"/>
      <c r="D44" s="4"/>
      <c r="E44" s="70"/>
      <c r="F44" s="70"/>
      <c r="G44" s="70"/>
      <c r="H44" s="70"/>
      <c r="I44" s="46"/>
      <c r="J44" s="3"/>
      <c r="K44" s="105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</row>
    <row r="45" ht="15.75" customHeight="1">
      <c r="A45" s="3"/>
      <c r="B45" s="3"/>
      <c r="C45" s="3"/>
      <c r="D45" s="3"/>
      <c r="E45" s="63"/>
      <c r="F45" s="63"/>
      <c r="G45" s="63"/>
      <c r="H45" s="63"/>
      <c r="I45" s="63"/>
      <c r="J45" s="3"/>
      <c r="K45" s="107"/>
      <c r="L45" s="111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</row>
    <row r="46" ht="15.75" customHeight="1">
      <c r="A46" s="10" t="s">
        <v>48</v>
      </c>
      <c r="B46" s="10"/>
      <c r="C46" s="13">
        <f>E7</f>
        <v>46027</v>
      </c>
      <c r="D46" s="3"/>
      <c r="E46" s="63"/>
      <c r="F46" s="44"/>
      <c r="G46" s="44"/>
      <c r="H46" s="64" t="s">
        <v>17</v>
      </c>
      <c r="I46" s="44">
        <f>I34+I37-I42-I41</f>
        <v>111475.0717</v>
      </c>
      <c r="J46" s="3"/>
      <c r="K46" s="109"/>
      <c r="L46" s="112"/>
      <c r="M46" s="105"/>
      <c r="N46" s="105"/>
      <c r="O46" s="109"/>
      <c r="P46" s="109"/>
      <c r="Q46" s="109"/>
      <c r="R46" s="109"/>
      <c r="S46" s="109"/>
      <c r="T46" s="109"/>
      <c r="U46" s="109"/>
      <c r="V46" s="109"/>
      <c r="W46" s="109"/>
      <c r="X46" s="109"/>
    </row>
    <row r="47" ht="15.75" customHeight="1">
      <c r="A47" s="10"/>
      <c r="B47" s="10"/>
      <c r="C47" s="13"/>
      <c r="D47" s="3"/>
      <c r="E47" s="63"/>
      <c r="F47" s="44"/>
      <c r="G47" s="44"/>
      <c r="H47" s="64"/>
      <c r="I47" s="44"/>
      <c r="J47" s="3"/>
      <c r="K47" s="113"/>
      <c r="L47" s="114"/>
      <c r="M47" s="110"/>
      <c r="N47" s="110"/>
      <c r="O47" s="110"/>
      <c r="P47" s="110"/>
      <c r="Q47" s="110"/>
      <c r="R47" s="110"/>
      <c r="S47" s="110"/>
      <c r="T47" s="109"/>
      <c r="U47" s="109"/>
      <c r="V47" s="109"/>
      <c r="W47" s="109"/>
      <c r="X47" s="109"/>
    </row>
    <row r="48" ht="15.75" customHeight="1">
      <c r="A48" s="8"/>
      <c r="B48" s="8"/>
      <c r="C48" s="8"/>
      <c r="D48" s="3"/>
      <c r="E48" s="63"/>
      <c r="F48" s="44"/>
      <c r="G48" s="44"/>
      <c r="H48" s="64"/>
      <c r="I48" s="44"/>
      <c r="J48" s="3"/>
      <c r="K48" s="107"/>
      <c r="L48" s="3"/>
      <c r="M48" s="107"/>
      <c r="N48" s="107"/>
      <c r="O48" s="107"/>
      <c r="P48" s="107"/>
      <c r="Q48" s="107"/>
      <c r="R48" s="107"/>
      <c r="S48" s="107"/>
      <c r="T48" s="109"/>
      <c r="U48" s="109"/>
      <c r="V48" s="109"/>
      <c r="W48" s="109"/>
      <c r="X48" s="109"/>
    </row>
    <row r="49" ht="15.75" customHeight="1">
      <c r="A49" s="71" t="s">
        <v>20</v>
      </c>
      <c r="B49" s="71"/>
      <c r="C49" s="71"/>
      <c r="D49" s="72"/>
      <c r="E49" s="73"/>
      <c r="F49" s="74"/>
      <c r="G49" s="74"/>
      <c r="H49" s="64" t="s">
        <v>17</v>
      </c>
      <c r="I49" s="115">
        <f>SUM(I46:I48)</f>
        <v>111475.0717</v>
      </c>
      <c r="J49" s="3"/>
      <c r="K49" s="116"/>
      <c r="L49" s="3"/>
      <c r="M49" s="3"/>
      <c r="N49" s="3"/>
      <c r="O49" s="109"/>
      <c r="P49" s="109"/>
      <c r="Q49" s="109"/>
      <c r="R49" s="109"/>
      <c r="S49" s="109"/>
      <c r="T49" s="109"/>
      <c r="U49" s="109"/>
      <c r="V49" s="109"/>
      <c r="W49" s="109"/>
      <c r="X49" s="109"/>
    </row>
    <row r="50" ht="15.75" customHeight="1">
      <c r="A50" s="6"/>
      <c r="B50" s="8"/>
      <c r="C50" s="8"/>
      <c r="D50" s="6"/>
      <c r="E50" s="50"/>
      <c r="F50" s="8"/>
      <c r="G50" s="8"/>
      <c r="H50" s="8"/>
      <c r="I50" s="8"/>
      <c r="J50" s="3"/>
      <c r="K50" s="105"/>
      <c r="L50" s="63"/>
      <c r="M50" s="3"/>
      <c r="N50" s="3"/>
      <c r="O50" s="109"/>
      <c r="P50" s="109"/>
      <c r="Q50" s="109"/>
      <c r="R50" s="109"/>
      <c r="S50" s="109"/>
      <c r="T50" s="109"/>
      <c r="U50" s="109"/>
      <c r="V50" s="109"/>
      <c r="W50" s="109"/>
      <c r="X50" s="109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ht="15.75" customHeight="1">
      <c r="A52" s="6"/>
      <c r="B52" s="8"/>
      <c r="C52" s="8"/>
      <c r="D52" s="6"/>
      <c r="E52" s="50"/>
      <c r="F52" s="8"/>
      <c r="G52" s="8"/>
      <c r="H52" s="3"/>
      <c r="I52" s="3"/>
      <c r="J52" s="3"/>
      <c r="K52" s="3"/>
      <c r="L52" s="3"/>
      <c r="M52" s="3"/>
      <c r="N52" s="3"/>
    </row>
    <row r="53" ht="15.75" customHeight="1">
      <c r="A53" s="76" t="s">
        <v>49</v>
      </c>
      <c r="B53" s="3"/>
      <c r="C53" s="3"/>
      <c r="D53" s="3"/>
      <c r="E53" s="76" t="s">
        <v>50</v>
      </c>
      <c r="F53" s="3"/>
      <c r="G53" s="3"/>
      <c r="H53" s="3"/>
      <c r="I53" s="3"/>
      <c r="J53" s="3"/>
      <c r="K53" s="3"/>
      <c r="L53" s="3"/>
      <c r="M53" s="3"/>
      <c r="N53" s="3"/>
    </row>
    <row r="54" ht="15.75" customHeight="1">
      <c r="A54" s="117" t="str">
        <f>TEXT(EDATE($E$7, -6), "mmmm")
</f>
        <v>julio</v>
      </c>
      <c r="B54" s="118">
        <f>YEAR(EDATE($E$7, -6))</f>
        <v>2025</v>
      </c>
      <c r="C54" s="119">
        <v>24000.0</v>
      </c>
      <c r="D54" s="3"/>
      <c r="E54" s="117" t="str">
        <f>TEXT(EDATE($E$7, -6), "mmmm")
</f>
        <v>julio</v>
      </c>
      <c r="F54" s="118">
        <f>YEAR(EDATE($E$7, -6))</f>
        <v>2025</v>
      </c>
      <c r="G54" s="77">
        <v>0.0</v>
      </c>
      <c r="H54" s="3"/>
      <c r="I54" s="3"/>
      <c r="J54" s="3"/>
      <c r="K54" s="3"/>
      <c r="L54" s="3"/>
      <c r="M54" s="3"/>
      <c r="N54" s="3"/>
    </row>
    <row r="55" ht="15.75" customHeight="1">
      <c r="A55" s="117" t="str">
        <f>TEXT(EDATE($E$7, -5), "mmmm")
</f>
        <v>agosto</v>
      </c>
      <c r="B55" s="118">
        <f>YEAR(EDATE($E$7, -5))</f>
        <v>2025</v>
      </c>
      <c r="C55" s="119">
        <v>24000.0</v>
      </c>
      <c r="D55" s="3"/>
      <c r="E55" s="117" t="str">
        <f>TEXT(EDATE($E$7, -5), "mmmm")
</f>
        <v>agosto</v>
      </c>
      <c r="F55" s="118">
        <f>YEAR(EDATE($E$7, -5))</f>
        <v>2025</v>
      </c>
      <c r="G55" s="77">
        <v>0.0</v>
      </c>
      <c r="H55" s="3"/>
      <c r="I55" s="3"/>
      <c r="J55" s="78"/>
      <c r="K55" s="3"/>
      <c r="L55" s="3"/>
      <c r="M55" s="3"/>
      <c r="N55" s="3"/>
    </row>
    <row r="56" ht="15.75" customHeight="1">
      <c r="A56" s="117" t="str">
        <f>TEXT(EDATE($E$7, -4), "mmmm")
</f>
        <v>septiembre</v>
      </c>
      <c r="B56" s="118">
        <f>YEAR(EDATE($E$7, -4))</f>
        <v>2025</v>
      </c>
      <c r="C56" s="119">
        <v>24000.0</v>
      </c>
      <c r="D56" s="3"/>
      <c r="E56" s="117" t="str">
        <f>TEXT(EDATE($E$7, -4), "mmmm")
</f>
        <v>septiembre</v>
      </c>
      <c r="F56" s="118">
        <f>YEAR(EDATE($E$7, -4))</f>
        <v>2025</v>
      </c>
      <c r="G56" s="77">
        <v>0.0</v>
      </c>
      <c r="H56" s="3"/>
      <c r="I56" s="3"/>
      <c r="J56" s="78"/>
      <c r="K56" s="3"/>
      <c r="L56" s="3"/>
      <c r="M56" s="3"/>
      <c r="N56" s="3"/>
    </row>
    <row r="57" ht="15.75" customHeight="1">
      <c r="A57" s="117" t="str">
        <f>TEXT(EDATE($E$7, -3), "mmmm")
</f>
        <v>octubre</v>
      </c>
      <c r="B57" s="118">
        <f>YEAR(EDATE($E$7, -3))</f>
        <v>2025</v>
      </c>
      <c r="C57" s="119">
        <v>24000.0</v>
      </c>
      <c r="D57" s="3"/>
      <c r="E57" s="117" t="str">
        <f>TEXT(EDATE($E$7, -3), "mmmm")
</f>
        <v>octubre</v>
      </c>
      <c r="F57" s="118">
        <f>YEAR(EDATE($E$7, -3))</f>
        <v>2025</v>
      </c>
      <c r="G57" s="77">
        <v>0.0</v>
      </c>
      <c r="H57" s="3"/>
      <c r="I57" s="3"/>
      <c r="J57" s="78"/>
      <c r="K57" s="3"/>
      <c r="L57" s="3"/>
      <c r="M57" s="3"/>
      <c r="N57" s="3"/>
    </row>
    <row r="58" ht="15.75" customHeight="1">
      <c r="A58" s="117" t="str">
        <f>TEXT(EDATE($E$7, -2), "mmmm")
</f>
        <v>noviembre</v>
      </c>
      <c r="B58" s="118">
        <f>YEAR(EDATE($E$7, -2))</f>
        <v>2025</v>
      </c>
      <c r="C58" s="119">
        <v>26400.0</v>
      </c>
      <c r="D58" s="3"/>
      <c r="E58" s="117" t="str">
        <f>TEXT(EDATE($E$7, -2), "mmmm")
</f>
        <v>noviembre</v>
      </c>
      <c r="F58" s="118">
        <f>YEAR(EDATE($E$7, -2))</f>
        <v>2025</v>
      </c>
      <c r="G58" s="77">
        <v>0.0</v>
      </c>
      <c r="H58" s="3"/>
      <c r="I58" s="3"/>
      <c r="J58" s="3"/>
      <c r="K58" s="3"/>
      <c r="L58" s="3"/>
      <c r="M58" s="3"/>
      <c r="N58" s="3"/>
    </row>
    <row r="59" ht="15.75" customHeight="1">
      <c r="A59" s="117" t="str">
        <f>TEXT(EDATE($E$7, -1), "mmmm")
</f>
        <v>diciembre</v>
      </c>
      <c r="B59" s="118">
        <f>YEAR(EDATE($E$7, -1))</f>
        <v>2025</v>
      </c>
      <c r="C59" s="119">
        <v>26400.0</v>
      </c>
      <c r="D59" s="3"/>
      <c r="E59" s="117" t="str">
        <f>TEXT(EDATE($E$7, -1), "mmmm")
</f>
        <v>diciembre</v>
      </c>
      <c r="F59" s="118">
        <f>YEAR(EDATE($E$7, -1))</f>
        <v>2025</v>
      </c>
      <c r="G59" s="77">
        <v>0.0</v>
      </c>
      <c r="H59" s="3"/>
      <c r="I59" s="3"/>
      <c r="J59" s="3"/>
      <c r="K59" s="3"/>
      <c r="L59" s="3"/>
      <c r="M59" s="3"/>
      <c r="N59" s="3"/>
    </row>
    <row r="60" ht="15.75" customHeight="1">
      <c r="A60" s="76" t="s">
        <v>58</v>
      </c>
      <c r="B60" s="76"/>
      <c r="C60" s="79">
        <f>SUM(C54:C59)</f>
        <v>148800</v>
      </c>
      <c r="D60" s="79">
        <f>(C60/180)*30</f>
        <v>24800</v>
      </c>
      <c r="E60" s="76" t="s">
        <v>58</v>
      </c>
      <c r="F60" s="76"/>
      <c r="G60" s="79">
        <f>SUM(G54:G59)</f>
        <v>0</v>
      </c>
      <c r="H60" s="79">
        <f>(G60/180)*30</f>
        <v>0</v>
      </c>
      <c r="I60" s="3"/>
      <c r="J60" s="3"/>
      <c r="K60" s="3"/>
      <c r="L60" s="3"/>
      <c r="M60" s="3"/>
      <c r="N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ht="15.75" customHeight="1">
      <c r="A64" s="83"/>
      <c r="B64" s="83"/>
      <c r="C64" s="83"/>
      <c r="D64" s="83"/>
      <c r="E64" s="83"/>
      <c r="F64" s="3"/>
      <c r="G64" s="3"/>
      <c r="H64" s="3"/>
      <c r="I64" s="3"/>
      <c r="J64" s="3"/>
      <c r="K64" s="3"/>
      <c r="L64" s="3"/>
      <c r="M64" s="3"/>
      <c r="N64" s="3"/>
    </row>
    <row r="65" ht="15.75" customHeight="1">
      <c r="A65" s="84"/>
      <c r="B65" s="84"/>
      <c r="C65" s="21"/>
      <c r="D65" s="84"/>
      <c r="E65" s="84"/>
      <c r="F65" s="85"/>
      <c r="G65" s="84"/>
      <c r="H65" s="84"/>
      <c r="I65" s="85"/>
      <c r="J65" s="3"/>
      <c r="K65" s="3"/>
      <c r="L65" s="3"/>
      <c r="M65" s="3"/>
      <c r="N65" s="3"/>
    </row>
    <row r="66" ht="15.75" customHeight="1">
      <c r="A66" s="86" t="s">
        <v>59</v>
      </c>
      <c r="B66" s="86"/>
      <c r="C66" s="85"/>
      <c r="D66" s="85" t="s">
        <v>60</v>
      </c>
      <c r="E66" s="85"/>
      <c r="F66" s="85"/>
      <c r="G66" s="85" t="s">
        <v>61</v>
      </c>
      <c r="H66" s="85"/>
      <c r="I66" s="85"/>
      <c r="J66" s="3"/>
      <c r="K66" s="3"/>
      <c r="L66" s="3"/>
      <c r="M66" s="3"/>
      <c r="N66" s="3"/>
    </row>
    <row r="67" ht="15.75" customHeight="1">
      <c r="A67" s="85"/>
      <c r="B67" s="85"/>
      <c r="C67" s="85"/>
      <c r="D67" s="85"/>
      <c r="E67" s="85"/>
      <c r="F67" s="85"/>
      <c r="G67" s="85"/>
      <c r="H67" s="85"/>
      <c r="I67" s="85"/>
      <c r="J67" s="3"/>
      <c r="K67" s="3"/>
      <c r="L67" s="3"/>
      <c r="M67" s="3"/>
      <c r="N67" s="3"/>
    </row>
    <row r="68" ht="15.75" customHeight="1">
      <c r="A68" s="85"/>
      <c r="B68" s="85"/>
      <c r="C68" s="85"/>
      <c r="D68" s="85"/>
      <c r="E68" s="85"/>
      <c r="F68" s="85"/>
      <c r="G68" s="85"/>
      <c r="H68" s="85"/>
      <c r="I68" s="85"/>
      <c r="J68" s="3"/>
      <c r="K68" s="3"/>
    </row>
    <row r="69" ht="15.75" customHeight="1">
      <c r="A69" s="85"/>
      <c r="B69" s="85"/>
      <c r="C69" s="85"/>
      <c r="D69" s="85"/>
      <c r="E69" s="85"/>
      <c r="F69" s="85"/>
      <c r="G69" s="85"/>
      <c r="H69" s="85"/>
      <c r="I69" s="85"/>
      <c r="J69" s="3"/>
      <c r="K69" s="3"/>
    </row>
    <row r="70" ht="15.75" customHeight="1">
      <c r="A70" s="85"/>
      <c r="B70" s="85"/>
      <c r="C70" s="85"/>
      <c r="D70" s="85"/>
      <c r="E70" s="85"/>
      <c r="F70" s="85"/>
      <c r="G70" s="85"/>
      <c r="H70" s="85"/>
      <c r="I70" s="85"/>
      <c r="J70" s="3"/>
      <c r="K70" s="3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36:B36"/>
    <mergeCell ref="A40:B40"/>
  </mergeCells>
  <printOptions/>
  <pageMargins bottom="0.75" footer="0.0" header="0.0" left="0.7" right="0.7" top="0.75"/>
  <pageSetup paperSize="9" scale="5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19.29"/>
    <col customWidth="1" min="3" max="3" width="14.43"/>
    <col customWidth="1" min="4" max="4" width="10.71"/>
    <col customWidth="1" min="5" max="5" width="14.71"/>
    <col customWidth="1" min="6" max="6" width="10.71"/>
    <col customWidth="1" min="7" max="7" width="14.71"/>
    <col customWidth="1" min="8" max="8" width="19.71"/>
    <col customWidth="1" min="9" max="9" width="16.71"/>
    <col customWidth="1" min="10" max="14" width="10.71"/>
  </cols>
  <sheetData>
    <row r="1">
      <c r="A1" s="88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</row>
    <row r="2">
      <c r="A2" s="4"/>
      <c r="B2" s="5"/>
      <c r="C2" s="5"/>
      <c r="D2" s="5"/>
      <c r="E2" s="5"/>
      <c r="F2" s="5"/>
      <c r="G2" s="5"/>
      <c r="H2" s="6" t="s">
        <v>1</v>
      </c>
      <c r="I2" s="7">
        <v>1.0</v>
      </c>
      <c r="J2" s="3"/>
      <c r="K2" s="3"/>
      <c r="L2" s="3"/>
      <c r="M2" s="3"/>
      <c r="N2" s="3"/>
    </row>
    <row r="3">
      <c r="A3" s="8" t="s">
        <v>2</v>
      </c>
      <c r="B3" s="8"/>
      <c r="C3" s="8"/>
      <c r="D3" s="9" t="s">
        <v>72</v>
      </c>
      <c r="E3" s="3"/>
      <c r="F3" s="10"/>
      <c r="G3" s="10"/>
      <c r="H3" s="10" t="s">
        <v>4</v>
      </c>
      <c r="I3" s="11">
        <v>153224.0</v>
      </c>
      <c r="J3" s="3"/>
      <c r="K3" s="3"/>
      <c r="L3" s="3"/>
      <c r="M3" s="3"/>
      <c r="N3" s="3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3"/>
      <c r="L4" s="90" t="s">
        <v>6</v>
      </c>
      <c r="M4" s="3"/>
      <c r="N4" s="3"/>
    </row>
    <row r="5">
      <c r="A5" s="8" t="s">
        <v>5</v>
      </c>
      <c r="B5" s="8"/>
      <c r="C5" s="8"/>
      <c r="D5" s="8"/>
      <c r="E5" s="12">
        <v>42317.0</v>
      </c>
      <c r="F5" s="8"/>
      <c r="G5" s="8"/>
      <c r="H5" s="8"/>
      <c r="I5" s="8"/>
      <c r="J5" s="3"/>
      <c r="K5" s="3"/>
      <c r="L5" s="3"/>
      <c r="M5" s="3"/>
      <c r="N5" s="3"/>
    </row>
    <row r="6">
      <c r="A6" s="8"/>
      <c r="B6" s="8"/>
      <c r="C6" s="8"/>
      <c r="D6" s="8"/>
      <c r="E6" s="13"/>
      <c r="F6" s="8"/>
      <c r="G6" s="8"/>
      <c r="H6" s="8"/>
      <c r="I6" s="8"/>
      <c r="J6" s="3"/>
      <c r="K6" s="3"/>
      <c r="L6" s="3"/>
      <c r="M6" s="3"/>
      <c r="N6" s="3"/>
    </row>
    <row r="7">
      <c r="A7" s="8" t="s">
        <v>7</v>
      </c>
      <c r="B7" s="8"/>
      <c r="C7" s="8"/>
      <c r="D7" s="8"/>
      <c r="E7" s="12">
        <v>43008.0</v>
      </c>
      <c r="F7" s="8"/>
      <c r="G7" s="8"/>
      <c r="H7" s="8"/>
      <c r="I7" s="3"/>
      <c r="J7" s="3"/>
      <c r="K7" s="3"/>
      <c r="L7" s="3"/>
      <c r="M7" s="3"/>
      <c r="N7" s="3"/>
    </row>
    <row r="8">
      <c r="A8" s="8"/>
      <c r="B8" s="8"/>
      <c r="C8" s="8"/>
      <c r="D8" s="8"/>
      <c r="E8" s="8"/>
      <c r="F8" s="8">
        <f>D9*360</f>
        <v>360</v>
      </c>
      <c r="G8" s="14">
        <f>C17-F8</f>
        <v>322</v>
      </c>
      <c r="H8" s="8"/>
      <c r="I8" s="8"/>
      <c r="J8" s="3"/>
      <c r="K8" s="3"/>
      <c r="L8" s="3"/>
      <c r="M8" s="3"/>
      <c r="N8" s="3"/>
    </row>
    <row r="9">
      <c r="A9" s="8" t="s">
        <v>8</v>
      </c>
      <c r="B9" s="8"/>
      <c r="C9" s="8"/>
      <c r="D9" s="15">
        <f>ROUND(C17/360-0.49,0)</f>
        <v>1</v>
      </c>
      <c r="E9" s="16" t="s">
        <v>9</v>
      </c>
      <c r="F9" s="16">
        <f>ROUND(G8/30-0.49,0)</f>
        <v>10</v>
      </c>
      <c r="G9" s="16" t="s">
        <v>10</v>
      </c>
      <c r="H9" s="17">
        <f>C17-F8-F9*30</f>
        <v>22</v>
      </c>
      <c r="I9" s="18" t="s">
        <v>11</v>
      </c>
      <c r="J9" s="3"/>
      <c r="K9" s="3"/>
      <c r="L9" s="3"/>
      <c r="M9" s="3"/>
      <c r="N9" s="3"/>
    </row>
    <row r="10">
      <c r="A10" s="8"/>
      <c r="B10" s="8"/>
      <c r="C10" s="6"/>
      <c r="D10" s="19"/>
      <c r="E10" s="92" t="s">
        <v>12</v>
      </c>
      <c r="F10" s="21"/>
      <c r="G10" s="22" t="s">
        <v>13</v>
      </c>
      <c r="H10" s="23" t="s">
        <v>14</v>
      </c>
      <c r="I10" s="24" t="s">
        <v>15</v>
      </c>
      <c r="J10" s="3"/>
      <c r="K10" s="3"/>
      <c r="L10" s="3"/>
      <c r="M10" s="3"/>
      <c r="N10" s="3"/>
    </row>
    <row r="11">
      <c r="A11" s="8" t="s">
        <v>16</v>
      </c>
      <c r="B11" s="8"/>
      <c r="C11" s="8"/>
      <c r="D11" s="25" t="s">
        <v>17</v>
      </c>
      <c r="E11" s="120">
        <v>9057.62</v>
      </c>
      <c r="F11" s="27"/>
      <c r="G11" s="28">
        <f>+D63</f>
        <v>9057.62</v>
      </c>
      <c r="H11" s="29">
        <f>D63*1.16666666666667</f>
        <v>10567.22333</v>
      </c>
      <c r="I11" s="40">
        <f>E13</f>
        <v>11070.42022</v>
      </c>
      <c r="J11" s="3"/>
      <c r="K11" s="3"/>
      <c r="L11" s="3"/>
      <c r="M11" s="3"/>
      <c r="N11" s="3"/>
    </row>
    <row r="12">
      <c r="A12" s="8"/>
      <c r="B12" s="8"/>
      <c r="C12" s="6" t="s">
        <v>18</v>
      </c>
      <c r="D12" s="31"/>
      <c r="E12" s="32" t="s">
        <v>19</v>
      </c>
      <c r="F12" s="27"/>
      <c r="G12" s="33" t="s">
        <v>20</v>
      </c>
      <c r="H12" s="34" t="s">
        <v>20</v>
      </c>
      <c r="I12" s="35" t="s">
        <v>21</v>
      </c>
      <c r="J12" s="3"/>
      <c r="K12" s="3"/>
      <c r="L12" s="3"/>
      <c r="M12" s="3"/>
      <c r="N12" s="3"/>
    </row>
    <row r="13">
      <c r="A13" s="8" t="s">
        <v>22</v>
      </c>
      <c r="B13" s="8"/>
      <c r="C13" s="8"/>
      <c r="D13" s="25" t="s">
        <v>17</v>
      </c>
      <c r="E13" s="36">
        <f>ROUND(D63*1.16666666666667,2)+H63</f>
        <v>11070.42022</v>
      </c>
      <c r="F13" s="37"/>
      <c r="G13" s="38">
        <f t="shared" ref="G13:H13" si="1">G11/30</f>
        <v>301.9206667</v>
      </c>
      <c r="H13" s="39">
        <f t="shared" si="1"/>
        <v>352.2407778</v>
      </c>
      <c r="I13" s="40">
        <f>+I11/30</f>
        <v>369.0140074</v>
      </c>
      <c r="J13" s="3"/>
      <c r="K13" s="3"/>
      <c r="L13" s="3"/>
      <c r="M13" s="3"/>
      <c r="N13" s="3"/>
    </row>
    <row r="14">
      <c r="A14" s="41" t="s">
        <v>23</v>
      </c>
      <c r="B14" s="42"/>
      <c r="C14" s="42"/>
      <c r="D14" s="42"/>
      <c r="E14" s="43"/>
      <c r="F14" s="43"/>
      <c r="G14" s="43"/>
      <c r="H14" s="43"/>
      <c r="I14" s="43"/>
      <c r="J14" s="3"/>
      <c r="K14" s="3"/>
      <c r="L14" s="3"/>
      <c r="M14" s="3"/>
      <c r="N14" s="3"/>
    </row>
    <row r="15">
      <c r="A15" s="8"/>
      <c r="B15" s="8"/>
      <c r="C15" s="8"/>
      <c r="D15" s="8"/>
      <c r="E15" s="44"/>
      <c r="F15" s="44"/>
      <c r="G15" s="44"/>
      <c r="H15" s="44"/>
      <c r="I15" s="44"/>
      <c r="J15" s="3"/>
      <c r="K15" s="3"/>
      <c r="L15" s="3"/>
      <c r="M15" s="3"/>
      <c r="N15" s="3"/>
    </row>
    <row r="16">
      <c r="A16" s="8" t="s">
        <v>24</v>
      </c>
      <c r="B16" s="8"/>
      <c r="C16" s="8"/>
      <c r="D16" s="45">
        <f>IF(C17&lt;90,1,IF(C17&lt;180,7,IF(C17&lt;360,14,IF(C17&lt;720,30,IF(C17&gt;=720,60)))))</f>
        <v>30</v>
      </c>
      <c r="E16" s="46" t="s">
        <v>25</v>
      </c>
      <c r="F16" s="46" t="s">
        <v>26</v>
      </c>
      <c r="G16" s="44">
        <f>+I13</f>
        <v>369.0140074</v>
      </c>
      <c r="H16" s="44"/>
      <c r="I16" s="44">
        <f>G16*D16</f>
        <v>11070.42022</v>
      </c>
      <c r="J16" s="3"/>
      <c r="K16" s="3"/>
      <c r="L16" s="3"/>
      <c r="M16" s="3"/>
      <c r="N16" s="3"/>
    </row>
    <row r="17">
      <c r="A17" s="8"/>
      <c r="B17" s="8"/>
      <c r="C17" s="47">
        <f>DAYS360(E5,E7)+1</f>
        <v>682</v>
      </c>
      <c r="D17" s="48" t="s">
        <v>27</v>
      </c>
      <c r="E17" s="46"/>
      <c r="F17" s="44"/>
      <c r="G17" s="44"/>
      <c r="H17" s="44"/>
      <c r="I17" s="44"/>
      <c r="J17" s="3"/>
      <c r="K17" s="3"/>
      <c r="L17" s="3"/>
      <c r="M17" s="3"/>
      <c r="N17" s="3"/>
    </row>
    <row r="18">
      <c r="A18" s="8" t="s">
        <v>28</v>
      </c>
      <c r="B18" s="8"/>
      <c r="C18" s="8"/>
      <c r="D18" s="49">
        <f>IF(C17&lt;90,0,IF(C17&lt;180,10,IF(C17&lt;360,20,IF(C17&lt;5400,ROUND(C17*30/360,2),IF(C17&gt;=5400,450)))))</f>
        <v>56.83</v>
      </c>
      <c r="E18" s="46" t="s">
        <v>25</v>
      </c>
      <c r="F18" s="46" t="s">
        <v>26</v>
      </c>
      <c r="G18" s="44">
        <f>+I13</f>
        <v>369.0140074</v>
      </c>
      <c r="H18" s="44"/>
      <c r="I18" s="44">
        <f>G18*D18</f>
        <v>20971.06604</v>
      </c>
      <c r="J18" s="3"/>
      <c r="K18" s="3"/>
      <c r="L18" s="3"/>
      <c r="M18" s="3"/>
      <c r="N18" s="3"/>
    </row>
    <row r="19">
      <c r="A19" s="14"/>
      <c r="B19" s="8"/>
      <c r="C19" s="8"/>
      <c r="D19" s="8"/>
      <c r="E19" s="46"/>
      <c r="F19" s="44"/>
      <c r="G19" s="44"/>
      <c r="H19" s="44"/>
      <c r="I19" s="44"/>
      <c r="J19" s="3"/>
      <c r="K19" s="3"/>
      <c r="L19" s="3"/>
      <c r="M19" s="3"/>
      <c r="N19" s="3"/>
    </row>
    <row r="20">
      <c r="A20" s="8" t="s">
        <v>29</v>
      </c>
      <c r="B20" s="8"/>
      <c r="C20" s="49">
        <v>0.0</v>
      </c>
      <c r="D20" s="50">
        <f>+C20</f>
        <v>0</v>
      </c>
      <c r="E20" s="46" t="s">
        <v>25</v>
      </c>
      <c r="F20" s="46" t="s">
        <v>26</v>
      </c>
      <c r="G20" s="44">
        <f>+H13</f>
        <v>352.2407778</v>
      </c>
      <c r="H20" s="44"/>
      <c r="I20" s="44">
        <f>+G20*D20</f>
        <v>0</v>
      </c>
      <c r="J20" s="3"/>
      <c r="K20" s="3"/>
      <c r="L20" s="3"/>
      <c r="M20" s="3"/>
      <c r="N20" s="3"/>
    </row>
    <row r="21" ht="15.75" customHeight="1">
      <c r="A21" s="8"/>
      <c r="B21" s="8"/>
      <c r="C21" s="8"/>
      <c r="D21" s="51"/>
      <c r="E21" s="46"/>
      <c r="F21" s="46"/>
      <c r="G21" s="44"/>
      <c r="H21" s="44"/>
      <c r="I21" s="44"/>
      <c r="J21" s="3"/>
      <c r="K21" s="3"/>
      <c r="L21" s="3"/>
      <c r="M21" s="3"/>
      <c r="N21" s="3"/>
    </row>
    <row r="22" ht="15.75" customHeight="1">
      <c r="A22" s="52" t="s">
        <v>30</v>
      </c>
      <c r="B22" s="52"/>
      <c r="C22" s="52"/>
      <c r="D22" s="51">
        <f>ROUND(C23*A24/360,2)</f>
        <v>8.94</v>
      </c>
      <c r="E22" s="46" t="s">
        <v>25</v>
      </c>
      <c r="F22" s="46" t="s">
        <v>26</v>
      </c>
      <c r="G22" s="44">
        <f>+H13</f>
        <v>352.2407778</v>
      </c>
      <c r="H22" s="44"/>
      <c r="I22" s="44">
        <f>D22*G22</f>
        <v>3149.032553</v>
      </c>
      <c r="J22" s="3"/>
      <c r="K22" s="3"/>
      <c r="L22" s="3"/>
      <c r="M22" s="3"/>
      <c r="N22" s="3"/>
    </row>
    <row r="23" ht="15.75" customHeight="1">
      <c r="A23" s="53">
        <v>42683.0</v>
      </c>
      <c r="B23" s="54">
        <f>E7</f>
        <v>43008</v>
      </c>
      <c r="C23" s="55">
        <f>DAYS360(A23,B23)+1</f>
        <v>322</v>
      </c>
      <c r="D23" s="3"/>
      <c r="E23" s="46"/>
      <c r="F23" s="46"/>
      <c r="G23" s="44"/>
      <c r="H23" s="44"/>
      <c r="I23" s="44"/>
      <c r="J23" s="3"/>
      <c r="K23" s="3"/>
      <c r="L23" s="3"/>
      <c r="M23" s="3"/>
      <c r="N23" s="3"/>
    </row>
    <row r="24" ht="15.75" customHeight="1">
      <c r="A24" s="56">
        <v>10.0</v>
      </c>
      <c r="B24" s="57"/>
      <c r="C24" s="52"/>
      <c r="D24" s="8"/>
      <c r="E24" s="46"/>
      <c r="F24" s="46"/>
      <c r="G24" s="44"/>
      <c r="H24" s="44"/>
      <c r="I24" s="44"/>
      <c r="J24" s="3"/>
      <c r="K24" s="3"/>
      <c r="L24" s="3"/>
      <c r="M24" s="3"/>
      <c r="N24" s="3"/>
    </row>
    <row r="25" ht="15.75" customHeight="1">
      <c r="A25" s="8" t="s">
        <v>31</v>
      </c>
      <c r="B25" s="8"/>
      <c r="C25" s="8"/>
      <c r="D25" s="50">
        <f>ROUND(C26*30/360,2)</f>
        <v>22.5</v>
      </c>
      <c r="E25" s="46" t="s">
        <v>25</v>
      </c>
      <c r="F25" s="46" t="s">
        <v>26</v>
      </c>
      <c r="G25" s="44">
        <f>+G13</f>
        <v>301.9206667</v>
      </c>
      <c r="H25" s="44"/>
      <c r="I25" s="44">
        <f>G25*D25</f>
        <v>6793.215</v>
      </c>
      <c r="J25" s="3"/>
      <c r="K25" s="3"/>
      <c r="L25" s="3"/>
      <c r="M25" s="3"/>
      <c r="N25" s="3"/>
    </row>
    <row r="26" ht="15.75" customHeight="1">
      <c r="A26" s="12">
        <v>42736.0</v>
      </c>
      <c r="B26" s="12">
        <f>+E7</f>
        <v>43008</v>
      </c>
      <c r="C26" s="58">
        <f>DAYS360(A26,B26)+1</f>
        <v>270</v>
      </c>
      <c r="D26" s="51"/>
      <c r="E26" s="46"/>
      <c r="F26" s="46"/>
      <c r="G26" s="44"/>
      <c r="H26" s="44"/>
      <c r="I26" s="44"/>
      <c r="J26" s="3"/>
      <c r="K26" s="3"/>
      <c r="L26" s="3"/>
      <c r="M26" s="3"/>
      <c r="N26" s="3"/>
    </row>
    <row r="27" ht="15.75" customHeight="1">
      <c r="A27" s="59"/>
      <c r="B27" s="8"/>
      <c r="C27" s="8"/>
      <c r="D27" s="8"/>
      <c r="E27" s="46"/>
      <c r="F27" s="46"/>
      <c r="G27" s="44"/>
      <c r="H27" s="44"/>
      <c r="I27" s="44"/>
      <c r="J27" s="3"/>
      <c r="K27" s="3"/>
      <c r="L27" s="3"/>
      <c r="M27" s="3"/>
      <c r="N27" s="3"/>
    </row>
    <row r="28" ht="15.75" customHeight="1">
      <c r="A28" s="8" t="s">
        <v>32</v>
      </c>
      <c r="B28" s="8"/>
      <c r="C28" s="8"/>
      <c r="D28" s="50">
        <f>ROUND(C29*30/360,2)</f>
        <v>7.5</v>
      </c>
      <c r="E28" s="46" t="s">
        <v>25</v>
      </c>
      <c r="F28" s="46" t="s">
        <v>26</v>
      </c>
      <c r="G28" s="44">
        <f>+G13</f>
        <v>301.9206667</v>
      </c>
      <c r="H28" s="44"/>
      <c r="I28" s="44">
        <f>G28*D28</f>
        <v>2264.405</v>
      </c>
      <c r="J28" s="3"/>
      <c r="K28" s="3"/>
      <c r="L28" s="3"/>
      <c r="M28" s="3"/>
      <c r="N28" s="3"/>
    </row>
    <row r="29" ht="15.75" customHeight="1">
      <c r="A29" s="12">
        <v>42917.0</v>
      </c>
      <c r="B29" s="60">
        <f>+E7</f>
        <v>43008</v>
      </c>
      <c r="C29" s="58">
        <f>DAYS360(A29,B29)+1</f>
        <v>90</v>
      </c>
      <c r="D29" s="50"/>
      <c r="E29" s="46"/>
      <c r="F29" s="46"/>
      <c r="G29" s="44"/>
      <c r="H29" s="44"/>
      <c r="I29" s="44"/>
      <c r="J29" s="3"/>
      <c r="K29" s="3"/>
      <c r="L29" s="3"/>
      <c r="M29" s="3"/>
      <c r="N29" s="3"/>
    </row>
    <row r="30" ht="15.75" customHeight="1">
      <c r="A30" s="61" t="s">
        <v>20</v>
      </c>
      <c r="B30" s="61"/>
      <c r="C30" s="61"/>
      <c r="D30" s="61"/>
      <c r="E30" s="62"/>
      <c r="F30" s="62"/>
      <c r="G30" s="62"/>
      <c r="H30" s="62"/>
      <c r="I30" s="62">
        <f>SUM(I16:I28)</f>
        <v>44248.13882</v>
      </c>
      <c r="J30" s="3"/>
      <c r="K30" s="3"/>
      <c r="L30" s="3"/>
      <c r="M30" s="3"/>
      <c r="N30" s="3"/>
    </row>
    <row r="31" ht="15.75" customHeight="1">
      <c r="A31" s="8"/>
      <c r="B31" s="8"/>
      <c r="C31" s="8"/>
      <c r="D31" s="8"/>
      <c r="E31" s="44"/>
      <c r="F31" s="44"/>
      <c r="G31" s="44"/>
      <c r="H31" s="44"/>
      <c r="I31" s="44"/>
      <c r="J31" s="3"/>
      <c r="K31" s="3"/>
      <c r="L31" s="3"/>
      <c r="M31" s="3"/>
      <c r="N31" s="3"/>
    </row>
    <row r="32" ht="15.75" customHeight="1">
      <c r="A32" s="8" t="s">
        <v>34</v>
      </c>
      <c r="B32" s="8"/>
      <c r="C32" s="8"/>
      <c r="D32" s="3"/>
      <c r="E32" s="63"/>
      <c r="F32" s="44"/>
      <c r="G32" s="44"/>
      <c r="H32" s="64" t="s">
        <v>17</v>
      </c>
      <c r="I32" s="44">
        <f>SUM(I16:I28)</f>
        <v>44248.13882</v>
      </c>
      <c r="J32" s="3"/>
      <c r="K32" s="3"/>
      <c r="L32" s="3"/>
      <c r="M32" s="3"/>
      <c r="N32" s="3"/>
    </row>
    <row r="33" ht="15.75" customHeight="1">
      <c r="A33" s="8"/>
      <c r="B33" s="8"/>
      <c r="C33" s="8"/>
      <c r="D33" s="3"/>
      <c r="E33" s="63"/>
      <c r="F33" s="44"/>
      <c r="G33" s="44"/>
      <c r="H33" s="64"/>
      <c r="I33" s="44"/>
      <c r="J33" s="3"/>
      <c r="K33" s="3"/>
      <c r="L33" s="3"/>
      <c r="M33" s="3"/>
      <c r="N33" s="3"/>
    </row>
    <row r="34" ht="15.75" customHeight="1">
      <c r="A34" s="65" t="s">
        <v>35</v>
      </c>
      <c r="B34" s="2"/>
      <c r="C34" s="8"/>
      <c r="D34" s="3"/>
      <c r="E34" s="63"/>
      <c r="F34" s="44"/>
      <c r="G34" s="44"/>
      <c r="H34" s="64"/>
      <c r="I34" s="44"/>
      <c r="J34" s="3"/>
      <c r="K34" s="3"/>
      <c r="L34" s="3"/>
      <c r="M34" s="3"/>
      <c r="N34" s="3"/>
    </row>
    <row r="35" ht="15.75" customHeight="1">
      <c r="A35" s="8"/>
      <c r="B35" s="3" t="s">
        <v>73</v>
      </c>
      <c r="C35" s="8"/>
      <c r="D35" s="3"/>
      <c r="E35" s="63"/>
      <c r="F35" s="46"/>
      <c r="G35" s="44"/>
      <c r="H35" s="64"/>
      <c r="I35" s="64">
        <v>3579.908666666667</v>
      </c>
      <c r="J35" s="3"/>
      <c r="K35" s="3"/>
      <c r="L35" s="3"/>
      <c r="M35" s="3"/>
      <c r="N35" s="3"/>
    </row>
    <row r="36" ht="15.75" customHeight="1">
      <c r="A36" s="8"/>
      <c r="B36" s="3"/>
      <c r="C36" s="8"/>
      <c r="D36" s="3"/>
      <c r="E36" s="63"/>
      <c r="F36" s="46"/>
      <c r="G36" s="44"/>
      <c r="H36" s="64"/>
      <c r="I36" s="64"/>
      <c r="J36" s="3"/>
      <c r="K36" s="3"/>
      <c r="L36" s="3"/>
      <c r="M36" s="3"/>
      <c r="N36" s="3"/>
    </row>
    <row r="37" ht="15.75" customHeight="1">
      <c r="A37" s="8"/>
      <c r="B37" s="3"/>
      <c r="C37" s="8"/>
      <c r="D37" s="3"/>
      <c r="E37" s="63"/>
      <c r="F37" s="46"/>
      <c r="G37" s="44"/>
      <c r="H37" s="64"/>
      <c r="I37" s="66"/>
      <c r="J37" s="3"/>
      <c r="K37" s="3"/>
      <c r="L37" s="3"/>
      <c r="M37" s="3"/>
      <c r="N37" s="3"/>
    </row>
    <row r="38" ht="15.75" customHeight="1">
      <c r="A38" s="65" t="s">
        <v>37</v>
      </c>
      <c r="B38" s="2"/>
      <c r="C38" s="8"/>
      <c r="D38" s="3"/>
      <c r="E38" s="63"/>
      <c r="F38" s="44"/>
      <c r="G38" s="44"/>
      <c r="H38" s="64"/>
      <c r="I38" s="44"/>
      <c r="J38" s="3"/>
      <c r="K38" s="3"/>
      <c r="L38" s="3"/>
      <c r="M38" s="3">
        <v>0.0</v>
      </c>
      <c r="N38" s="3" t="s">
        <v>74</v>
      </c>
    </row>
    <row r="39" ht="15.75" customHeight="1">
      <c r="A39" s="3"/>
      <c r="B39" s="8" t="s">
        <v>38</v>
      </c>
      <c r="C39" s="8"/>
      <c r="D39" s="3"/>
      <c r="E39" s="63"/>
      <c r="F39" s="44"/>
      <c r="G39" s="44"/>
      <c r="H39" s="64"/>
      <c r="I39" s="68">
        <f>-122.84</f>
        <v>-122.84</v>
      </c>
      <c r="J39" s="3"/>
      <c r="K39" s="3"/>
      <c r="L39" s="3"/>
      <c r="M39" s="3">
        <f>113.87*4</f>
        <v>455.48</v>
      </c>
      <c r="N39" s="3" t="s">
        <v>44</v>
      </c>
    </row>
    <row r="40" ht="15.75" customHeight="1">
      <c r="A40" s="3"/>
      <c r="B40" s="8" t="s">
        <v>40</v>
      </c>
      <c r="C40" s="8"/>
      <c r="D40" s="3"/>
      <c r="E40" s="63"/>
      <c r="F40" s="44"/>
      <c r="G40" s="44"/>
      <c r="H40" s="64"/>
      <c r="I40" s="68">
        <f>-424.64</f>
        <v>-424.64</v>
      </c>
      <c r="J40" s="3"/>
      <c r="K40" s="3"/>
      <c r="L40" s="44"/>
      <c r="M40" s="3">
        <f>SUM(M38:M39)</f>
        <v>455.48</v>
      </c>
      <c r="N40" s="3"/>
    </row>
    <row r="41" ht="15.75" customHeight="1">
      <c r="A41" s="3"/>
      <c r="B41" s="8" t="s">
        <v>41</v>
      </c>
      <c r="C41" s="8"/>
      <c r="D41" s="3"/>
      <c r="E41" s="63"/>
      <c r="F41" s="44"/>
      <c r="G41" s="44"/>
      <c r="H41" s="64"/>
      <c r="I41" s="68">
        <v>0.0</v>
      </c>
      <c r="J41" s="3"/>
      <c r="K41" s="3"/>
      <c r="L41" s="44"/>
      <c r="M41" s="3"/>
      <c r="N41" s="3"/>
    </row>
    <row r="42" ht="15.75" customHeight="1">
      <c r="A42" s="3"/>
      <c r="B42" s="8" t="s">
        <v>42</v>
      </c>
      <c r="C42" s="8"/>
      <c r="D42" s="3"/>
      <c r="E42" s="63"/>
      <c r="F42" s="44"/>
      <c r="G42" s="44"/>
      <c r="H42" s="64"/>
      <c r="I42" s="68">
        <v>-10.02</v>
      </c>
      <c r="J42" s="3"/>
      <c r="K42" s="3"/>
      <c r="L42" s="44"/>
      <c r="M42" s="3"/>
      <c r="N42" s="3"/>
    </row>
    <row r="43" ht="15.75" customHeight="1">
      <c r="A43" s="3"/>
      <c r="B43" s="8" t="s">
        <v>43</v>
      </c>
      <c r="C43" s="8"/>
      <c r="D43" s="3"/>
      <c r="E43" s="63"/>
      <c r="F43" s="44"/>
      <c r="G43" s="44"/>
      <c r="H43" s="64"/>
      <c r="I43" s="68">
        <v>-455.48</v>
      </c>
      <c r="J43" s="3"/>
      <c r="K43" s="3"/>
      <c r="L43" s="44"/>
      <c r="M43" s="3"/>
      <c r="N43" s="3"/>
    </row>
    <row r="44" ht="15.75" customHeight="1">
      <c r="A44" s="3"/>
      <c r="B44" s="8"/>
      <c r="C44" s="8"/>
      <c r="D44" s="3"/>
      <c r="E44" s="63"/>
      <c r="F44" s="44"/>
      <c r="G44" s="44"/>
      <c r="H44" s="64"/>
      <c r="I44" s="68"/>
      <c r="J44" s="3"/>
      <c r="K44" s="3"/>
      <c r="L44" s="44"/>
      <c r="M44" s="3"/>
      <c r="N44" s="121"/>
    </row>
    <row r="45" ht="15.75" customHeight="1">
      <c r="A45" s="3"/>
      <c r="B45" s="8"/>
      <c r="C45" s="8"/>
      <c r="E45" s="63"/>
      <c r="F45" s="44"/>
      <c r="G45" s="44"/>
      <c r="H45" s="64"/>
      <c r="I45" s="68"/>
      <c r="J45" s="3"/>
      <c r="K45" s="3"/>
      <c r="L45" s="44"/>
      <c r="M45" s="3"/>
      <c r="N45" s="3"/>
    </row>
    <row r="46" ht="15.75" customHeight="1">
      <c r="A46" s="67" t="s">
        <v>47</v>
      </c>
      <c r="B46" s="4"/>
      <c r="C46" s="4"/>
      <c r="D46" s="4"/>
      <c r="E46" s="70"/>
      <c r="F46" s="70"/>
      <c r="G46" s="70"/>
      <c r="H46" s="70"/>
      <c r="I46" s="46"/>
      <c r="J46" s="3"/>
      <c r="K46" s="3"/>
      <c r="L46" s="3"/>
      <c r="M46" s="3"/>
      <c r="N46" s="3"/>
    </row>
    <row r="47" ht="15.75" customHeight="1">
      <c r="A47" s="3"/>
      <c r="B47" s="3"/>
      <c r="C47" s="3"/>
      <c r="D47" s="3"/>
      <c r="E47" s="63"/>
      <c r="F47" s="63"/>
      <c r="G47" s="63"/>
      <c r="H47" s="63"/>
      <c r="I47" s="63"/>
      <c r="J47" s="3"/>
      <c r="K47" s="3"/>
      <c r="L47" s="3"/>
      <c r="M47" s="3"/>
      <c r="N47" s="3"/>
    </row>
    <row r="48" ht="15.75" customHeight="1">
      <c r="A48" s="10" t="s">
        <v>48</v>
      </c>
      <c r="B48" s="10"/>
      <c r="C48" s="13">
        <f>E7</f>
        <v>43008</v>
      </c>
      <c r="D48" s="3"/>
      <c r="E48" s="63"/>
      <c r="F48" s="44"/>
      <c r="G48" s="44"/>
      <c r="H48" s="64" t="s">
        <v>17</v>
      </c>
      <c r="I48" s="44">
        <f>SUM(I32:I47)</f>
        <v>46815.06748</v>
      </c>
      <c r="J48" s="3"/>
      <c r="K48" s="3"/>
      <c r="L48" s="3"/>
      <c r="M48" s="3"/>
      <c r="N48" s="3"/>
    </row>
    <row r="49" ht="15.75" customHeight="1">
      <c r="A49" s="10"/>
      <c r="B49" s="10"/>
      <c r="C49" s="13"/>
      <c r="D49" s="3"/>
      <c r="E49" s="63"/>
      <c r="F49" s="44"/>
      <c r="G49" s="44"/>
      <c r="H49" s="64"/>
      <c r="I49" s="44"/>
      <c r="J49" s="3"/>
      <c r="K49" s="3"/>
      <c r="L49" s="3"/>
      <c r="M49" s="3"/>
      <c r="N49" s="3"/>
    </row>
    <row r="50" ht="15.75" customHeight="1">
      <c r="A50" s="8"/>
      <c r="B50" s="8"/>
      <c r="C50" s="8"/>
      <c r="D50" s="3"/>
      <c r="E50" s="63"/>
      <c r="F50" s="44"/>
      <c r="G50" s="44"/>
      <c r="H50" s="64"/>
      <c r="I50" s="44"/>
      <c r="J50" s="3"/>
      <c r="K50" s="3"/>
      <c r="L50" s="3"/>
      <c r="M50" s="3"/>
      <c r="N50" s="3"/>
    </row>
    <row r="51" ht="15.75" customHeight="1">
      <c r="A51" s="71" t="s">
        <v>20</v>
      </c>
      <c r="B51" s="71"/>
      <c r="C51" s="71"/>
      <c r="D51" s="72"/>
      <c r="E51" s="73"/>
      <c r="F51" s="74"/>
      <c r="G51" s="74"/>
      <c r="H51" s="64" t="s">
        <v>17</v>
      </c>
      <c r="I51" s="74">
        <f>SUM(I48:I50)</f>
        <v>46815.06748</v>
      </c>
      <c r="J51" s="3"/>
      <c r="K51" s="3"/>
      <c r="L51" s="3"/>
      <c r="M51" s="3"/>
      <c r="N51" s="3"/>
    </row>
    <row r="52" ht="15.75" customHeight="1">
      <c r="A52" s="6"/>
      <c r="B52" s="8"/>
      <c r="C52" s="8"/>
      <c r="D52" s="6"/>
      <c r="E52" s="50"/>
      <c r="F52" s="8"/>
      <c r="G52" s="8"/>
      <c r="H52" s="8"/>
      <c r="I52" s="8"/>
      <c r="J52" s="3"/>
      <c r="K52" s="3"/>
      <c r="L52" s="3"/>
      <c r="M52" s="3"/>
      <c r="N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ht="15.75" customHeight="1">
      <c r="A54" s="6"/>
      <c r="B54" s="8"/>
      <c r="C54" s="8"/>
      <c r="D54" s="6"/>
      <c r="E54" s="50"/>
      <c r="F54" s="8"/>
      <c r="G54" s="8"/>
      <c r="H54" s="3"/>
      <c r="I54" s="3"/>
      <c r="J54" s="3"/>
      <c r="K54" s="3"/>
      <c r="L54" s="3"/>
      <c r="M54" s="3"/>
      <c r="N54" s="3"/>
    </row>
    <row r="55" ht="15.75" customHeight="1">
      <c r="A55" s="76" t="s">
        <v>49</v>
      </c>
      <c r="B55" s="3"/>
      <c r="C55" s="3"/>
      <c r="D55" s="3"/>
      <c r="E55" s="76" t="s">
        <v>50</v>
      </c>
      <c r="F55" s="3"/>
      <c r="G55" s="3"/>
      <c r="H55" s="3"/>
      <c r="I55" s="3"/>
      <c r="J55" s="3"/>
      <c r="K55" s="3"/>
      <c r="L55" s="63"/>
      <c r="M55" s="3"/>
      <c r="N55" s="3"/>
    </row>
    <row r="56" ht="15.75" customHeight="1">
      <c r="A56" s="3" t="s">
        <v>75</v>
      </c>
      <c r="B56" s="3">
        <v>2017.0</v>
      </c>
      <c r="C56" s="3">
        <v>0.0</v>
      </c>
      <c r="D56" s="3"/>
      <c r="E56" s="3" t="s">
        <v>75</v>
      </c>
      <c r="F56" s="3">
        <v>2017.0</v>
      </c>
      <c r="G56" s="77">
        <v>0.0</v>
      </c>
      <c r="H56" s="3"/>
      <c r="I56" s="77"/>
      <c r="J56" s="3"/>
      <c r="K56" s="3"/>
      <c r="L56" s="3"/>
      <c r="M56" s="3"/>
      <c r="N56" s="3"/>
    </row>
    <row r="57" ht="15.75" customHeight="1">
      <c r="A57" s="3" t="s">
        <v>52</v>
      </c>
      <c r="B57" s="3">
        <v>2017.0</v>
      </c>
      <c r="C57" s="119">
        <v>9057.62</v>
      </c>
      <c r="D57" s="3"/>
      <c r="E57" s="3" t="s">
        <v>52</v>
      </c>
      <c r="F57" s="3">
        <v>2017.0</v>
      </c>
      <c r="G57" s="77">
        <v>1811.52</v>
      </c>
      <c r="H57" s="3"/>
      <c r="I57" s="3"/>
      <c r="J57" s="78"/>
      <c r="K57" s="3"/>
      <c r="L57" s="3"/>
      <c r="M57" s="3"/>
      <c r="N57" s="3"/>
    </row>
    <row r="58" ht="15.75" customHeight="1">
      <c r="A58" s="3" t="s">
        <v>53</v>
      </c>
      <c r="B58" s="3">
        <v>2017.0</v>
      </c>
      <c r="C58" s="3">
        <v>9057.62</v>
      </c>
      <c r="D58" s="3"/>
      <c r="E58" s="3" t="s">
        <v>53</v>
      </c>
      <c r="F58" s="3">
        <v>2017.0</v>
      </c>
      <c r="G58" s="77">
        <v>603.84</v>
      </c>
      <c r="H58" s="3"/>
      <c r="I58" s="3"/>
      <c r="J58" s="78"/>
      <c r="K58" s="3"/>
      <c r="L58" s="3"/>
      <c r="M58" s="3"/>
      <c r="N58" s="3"/>
    </row>
    <row r="59" ht="15.75" customHeight="1">
      <c r="A59" s="3" t="s">
        <v>54</v>
      </c>
      <c r="B59" s="3">
        <v>2017.0</v>
      </c>
      <c r="C59" s="3">
        <v>9057.62</v>
      </c>
      <c r="D59" s="3"/>
      <c r="E59" s="3" t="s">
        <v>54</v>
      </c>
      <c r="F59" s="3">
        <v>2017.0</v>
      </c>
      <c r="G59" s="77">
        <v>0.0</v>
      </c>
      <c r="H59" s="3"/>
      <c r="I59" s="3"/>
      <c r="J59" s="78"/>
      <c r="K59" s="3"/>
      <c r="L59" s="3"/>
      <c r="M59" s="3"/>
      <c r="N59" s="3"/>
    </row>
    <row r="60" ht="15.75" customHeight="1">
      <c r="A60" s="3" t="s">
        <v>55</v>
      </c>
      <c r="B60" s="3">
        <v>2017.0</v>
      </c>
      <c r="C60" s="3">
        <v>9057.62</v>
      </c>
      <c r="D60" s="3"/>
      <c r="E60" s="3" t="s">
        <v>55</v>
      </c>
      <c r="F60" s="3">
        <v>2017.0</v>
      </c>
      <c r="G60" s="77">
        <v>0.0</v>
      </c>
      <c r="H60" s="3"/>
      <c r="I60" s="3"/>
      <c r="J60" s="3"/>
      <c r="K60" s="3"/>
      <c r="L60" s="3"/>
      <c r="M60" s="3"/>
      <c r="N60" s="3"/>
    </row>
    <row r="61" ht="15.75" customHeight="1">
      <c r="A61" s="3" t="s">
        <v>56</v>
      </c>
      <c r="B61" s="3">
        <v>2017.0</v>
      </c>
      <c r="C61" s="3">
        <v>9057.62</v>
      </c>
      <c r="D61" s="3"/>
      <c r="E61" s="3" t="s">
        <v>56</v>
      </c>
      <c r="F61" s="3">
        <v>2017.0</v>
      </c>
      <c r="G61" s="77">
        <v>0.0</v>
      </c>
      <c r="H61" s="3"/>
      <c r="I61" s="3"/>
      <c r="J61" s="3"/>
      <c r="K61" s="3"/>
      <c r="L61" s="3"/>
      <c r="M61" s="3"/>
      <c r="N61" s="3"/>
    </row>
    <row r="62" ht="15.75" customHeight="1">
      <c r="A62" s="3" t="s">
        <v>57</v>
      </c>
      <c r="B62" s="3">
        <v>2017.0</v>
      </c>
      <c r="C62" s="3">
        <v>9057.62</v>
      </c>
      <c r="D62" s="3"/>
      <c r="E62" s="3" t="s">
        <v>57</v>
      </c>
      <c r="F62" s="3">
        <v>2017.0</v>
      </c>
      <c r="G62" s="77">
        <v>603.8413333333334</v>
      </c>
      <c r="H62" s="3"/>
      <c r="I62" s="3"/>
      <c r="J62" s="3"/>
      <c r="K62" s="3"/>
      <c r="L62" s="3"/>
      <c r="M62" s="3"/>
      <c r="N62" s="3"/>
    </row>
    <row r="63" ht="15.75" customHeight="1">
      <c r="A63" s="76" t="s">
        <v>58</v>
      </c>
      <c r="B63" s="76"/>
      <c r="C63" s="79">
        <f>SUM(C56:C62)</f>
        <v>54345.72</v>
      </c>
      <c r="D63" s="79">
        <f>(C63/6)</f>
        <v>9057.62</v>
      </c>
      <c r="E63" s="76" t="s">
        <v>58</v>
      </c>
      <c r="F63" s="76"/>
      <c r="G63" s="79">
        <f>SUM(G56:G62)</f>
        <v>3019.201333</v>
      </c>
      <c r="H63" s="79">
        <f>(G63/180)*30</f>
        <v>503.2002222</v>
      </c>
      <c r="I63" s="3"/>
      <c r="J63" s="3"/>
      <c r="K63" s="3"/>
      <c r="L63" s="3"/>
      <c r="M63" s="3"/>
      <c r="N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122">
        <f>+D63*1.16</f>
        <v>10506.8392</v>
      </c>
      <c r="M66" s="122"/>
      <c r="N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123">
        <f>+L66+H63</f>
        <v>11010.03942</v>
      </c>
      <c r="M67" s="122"/>
      <c r="N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ht="15.75" customHeight="1">
      <c r="A69" s="83"/>
      <c r="B69" s="83"/>
      <c r="C69" s="83"/>
      <c r="D69" s="83"/>
      <c r="E69" s="83"/>
      <c r="F69" s="3"/>
      <c r="G69" s="3"/>
      <c r="H69" s="3"/>
      <c r="I69" s="3"/>
      <c r="J69" s="3"/>
      <c r="K69" s="3"/>
      <c r="L69" s="3"/>
      <c r="M69" s="3"/>
      <c r="N69" s="3"/>
    </row>
    <row r="70" ht="15.75" customHeight="1">
      <c r="A70" s="84"/>
      <c r="B70" s="84"/>
      <c r="C70" s="21"/>
      <c r="D70" s="84"/>
      <c r="E70" s="84"/>
      <c r="F70" s="85"/>
      <c r="G70" s="84"/>
      <c r="H70" s="84"/>
      <c r="I70" s="85"/>
      <c r="J70" s="3"/>
      <c r="K70" s="3"/>
      <c r="L70" s="3"/>
      <c r="M70" s="3"/>
      <c r="N70" s="3"/>
    </row>
    <row r="71" ht="15.75" customHeight="1">
      <c r="A71" s="86" t="s">
        <v>59</v>
      </c>
      <c r="B71" s="86"/>
      <c r="C71" s="85"/>
      <c r="D71" s="85" t="s">
        <v>60</v>
      </c>
      <c r="E71" s="85"/>
      <c r="F71" s="85"/>
      <c r="G71" s="85" t="s">
        <v>61</v>
      </c>
      <c r="H71" s="85"/>
      <c r="I71" s="85"/>
      <c r="J71" s="3"/>
      <c r="K71" s="3"/>
      <c r="L71" s="3"/>
      <c r="M71" s="3"/>
      <c r="N71" s="3"/>
    </row>
    <row r="72" ht="15.75" customHeight="1">
      <c r="A72" s="85"/>
      <c r="B72" s="85"/>
      <c r="C72" s="85"/>
      <c r="D72" s="85"/>
      <c r="E72" s="85"/>
      <c r="F72" s="85"/>
      <c r="G72" s="85"/>
      <c r="H72" s="85"/>
      <c r="I72" s="85"/>
      <c r="J72" s="3"/>
      <c r="K72" s="3"/>
      <c r="L72" s="3"/>
      <c r="M72" s="3"/>
      <c r="N72" s="3"/>
    </row>
    <row r="73" ht="15.75" customHeight="1">
      <c r="A73" s="85"/>
      <c r="B73" s="85"/>
      <c r="C73" s="85"/>
      <c r="D73" s="85"/>
      <c r="E73" s="85"/>
      <c r="F73" s="85"/>
      <c r="G73" s="85"/>
      <c r="H73" s="85"/>
      <c r="I73" s="85"/>
      <c r="J73" s="3"/>
      <c r="K73" s="3"/>
      <c r="L73" s="3"/>
      <c r="M73" s="3"/>
      <c r="N73" s="3"/>
    </row>
    <row r="74" ht="15.75" customHeight="1">
      <c r="A74" s="85"/>
      <c r="B74" s="85"/>
      <c r="C74" s="85"/>
      <c r="D74" s="85"/>
      <c r="E74" s="85"/>
      <c r="F74" s="85"/>
      <c r="G74" s="85"/>
      <c r="H74" s="85"/>
      <c r="I74" s="85"/>
      <c r="J74" s="3"/>
      <c r="K74" s="3"/>
      <c r="L74" s="3"/>
      <c r="M74" s="3"/>
      <c r="N74" s="3"/>
    </row>
    <row r="75" ht="15.75" customHeight="1">
      <c r="A75" s="85"/>
      <c r="B75" s="85"/>
      <c r="C75" s="85"/>
      <c r="D75" s="85"/>
      <c r="E75" s="85"/>
      <c r="F75" s="85"/>
      <c r="G75" s="85"/>
      <c r="H75" s="85"/>
      <c r="I75" s="85"/>
      <c r="J75" s="3"/>
      <c r="K75" s="3"/>
      <c r="L75" s="3"/>
      <c r="M75" s="3"/>
      <c r="N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34:B34"/>
    <mergeCell ref="A38:B38"/>
  </mergeCells>
  <printOptions/>
  <pageMargins bottom="0.75" footer="0.0" header="0.0" left="0.7" right="0.7" top="0.75"/>
  <pageSetup paperSize="9" orientation="portrait"/>
  <colBreaks count="1" manualBreakCount="1">
    <brk id="9" man="1"/>
  </colBreaks>
  <drawing r:id="rId2"/>
  <legacyDrawing r:id="rId3"/>
</worksheet>
</file>