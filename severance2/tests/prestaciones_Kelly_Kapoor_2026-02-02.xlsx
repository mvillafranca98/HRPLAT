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uillermo" state="hidden" r:id="rId4"/>
    <sheet sheetId="2" name="Rene Cortes" state="hidden" r:id="rId5"/>
    <sheet sheetId="3" name="Calculo" state="visible" r:id="rId6"/>
    <sheet sheetId="4" name="Iveth Salasar" state="hidden" r:id="rId7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E5" authorId="0">
      <text/>
    </comment>
    <comment ref="E7" authorId="0">
      <text/>
    </comment>
    <comment ref="E11" authorId="0">
      <text/>
    </comment>
    <comment ref="D16" authorId="0">
      <text/>
    </comment>
    <comment ref="C17" authorId="0">
      <text/>
    </comment>
    <comment ref="D18" authorId="0">
      <text/>
    </comment>
    <comment ref="C20" authorId="0">
      <text/>
    </comment>
    <comment ref="A23" authorId="0">
      <text/>
    </comment>
    <comment ref="B23" authorId="0">
      <text/>
    </comment>
    <comment ref="C23" authorId="0">
      <text/>
    </comment>
    <comment ref="A24" authorId="0">
      <text/>
    </comment>
    <comment ref="A26" authorId="0">
      <text/>
    </comment>
    <comment ref="B26" authorId="0">
      <text/>
    </comment>
    <comment ref="C26" authorId="0">
      <text/>
    </comment>
    <comment ref="A29" authorId="0">
      <text/>
    </comment>
    <comment ref="B29" authorId="0">
      <text/>
    </comment>
    <comment ref="C29" authorId="0">
      <text/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E5" authorId="0">
      <text/>
    </comment>
    <comment ref="E7" authorId="0">
      <text/>
    </comment>
    <comment ref="E11" authorId="0">
      <text/>
    </comment>
    <comment ref="D16" authorId="0">
      <text/>
    </comment>
    <comment ref="C17" authorId="0">
      <text/>
    </comment>
    <comment ref="D18" authorId="0">
      <text/>
    </comment>
    <comment ref="C20" authorId="0">
      <text/>
    </comment>
    <comment ref="A23" authorId="0">
      <text/>
    </comment>
    <comment ref="B23" authorId="0">
      <text/>
    </comment>
    <comment ref="C23" authorId="0">
      <text/>
    </comment>
    <comment ref="A24" authorId="0">
      <text/>
    </comment>
    <comment ref="A26" authorId="0">
      <text/>
    </comment>
    <comment ref="B26" authorId="0">
      <text/>
    </comment>
    <comment ref="C26" authorId="0">
      <text/>
    </comment>
    <comment ref="A29" authorId="0">
      <text/>
    </comment>
    <comment ref="B29" authorId="0">
      <text/>
    </comment>
    <comment ref="C29" authorId="0">
      <text/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E5" authorId="0">
      <text/>
    </comment>
    <comment ref="E7" authorId="0">
      <text/>
    </comment>
    <comment ref="E11" authorId="0">
      <text/>
    </comment>
    <comment ref="D16" authorId="0">
      <text/>
    </comment>
    <comment ref="C17" authorId="0">
      <text/>
    </comment>
    <comment ref="D18" authorId="0">
      <text/>
    </comment>
    <comment ref="C22" authorId="0">
      <text/>
    </comment>
    <comment ref="A25" authorId="0">
      <text/>
    </comment>
    <comment ref="B25" authorId="0">
      <text/>
    </comment>
    <comment ref="C25" authorId="0">
      <text/>
    </comment>
    <comment ref="A26" authorId="0">
      <text/>
    </comment>
    <comment ref="A28" authorId="0">
      <text/>
    </comment>
    <comment ref="B28" authorId="0">
      <text/>
    </comment>
    <comment ref="C28" authorId="0">
      <text/>
    </comment>
    <comment ref="A31" authorId="0">
      <text/>
    </comment>
    <comment ref="B31" authorId="0">
      <text/>
    </comment>
    <comment ref="C31" authorId="0">
      <text/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E5" authorId="0">
      <text/>
    </comment>
    <comment ref="E7" authorId="0">
      <text/>
    </comment>
    <comment ref="E11" authorId="0">
      <text/>
    </comment>
    <comment ref="D16" authorId="0">
      <text/>
    </comment>
    <comment ref="C17" authorId="0">
      <text/>
    </comment>
    <comment ref="D18" authorId="0">
      <text/>
    </comment>
    <comment ref="C20" authorId="0">
      <text/>
    </comment>
    <comment ref="A23" authorId="0">
      <text/>
    </comment>
    <comment ref="B23" authorId="0">
      <text/>
    </comment>
    <comment ref="C23" authorId="0">
      <text/>
    </comment>
    <comment ref="A24" authorId="0">
      <text/>
    </comment>
    <comment ref="A26" authorId="0">
      <text/>
    </comment>
    <comment ref="B26" authorId="0">
      <text/>
    </comment>
    <comment ref="C26" authorId="0">
      <text/>
    </comment>
    <comment ref="A29" authorId="0">
      <text/>
    </comment>
    <comment ref="B29" authorId="0">
      <text/>
    </comment>
    <comment ref="C29" authorId="0">
      <text/>
    </comment>
  </commentList>
</comments>
</file>

<file path=xl/sharedStrings.xml><?xml version="1.0" encoding="utf-8"?>
<sst xmlns="http://schemas.openxmlformats.org/spreadsheetml/2006/main" count="334" uniqueCount="89">
  <si>
    <t>CALCULO DE PRESTACIONES LABORALES</t>
  </si>
  <si>
    <t xml:space="preserve">Orden </t>
  </si>
  <si>
    <t xml:space="preserve">EMPLEADO </t>
  </si>
  <si>
    <t>Kelly Kapoor</t>
  </si>
  <si>
    <t>No Empleado</t>
  </si>
  <si>
    <t>1819-1651</t>
  </si>
  <si>
    <t>Renuncia</t>
  </si>
  <si>
    <t>FECHA DE INGRESO</t>
  </si>
  <si>
    <t>03-feb-2024</t>
  </si>
  <si>
    <t>Despido</t>
  </si>
  <si>
    <t>FECHA DE RETIRO</t>
  </si>
  <si>
    <t>01-feb-2026</t>
  </si>
  <si>
    <t>ANTIGÜEDAD</t>
  </si>
  <si>
    <t>AÑOS</t>
  </si>
  <si>
    <t>DIAS</t>
  </si>
  <si>
    <t>Base</t>
  </si>
  <si>
    <t>Base Mens</t>
  </si>
  <si>
    <t>Base Prom Mens</t>
  </si>
  <si>
    <t>Prom. Mens</t>
  </si>
  <si>
    <t>SUELDO MENSUAL ORDINARIO</t>
  </si>
  <si>
    <t>Lps</t>
  </si>
  <si>
    <t xml:space="preserve"> </t>
  </si>
  <si>
    <t>Promedio</t>
  </si>
  <si>
    <t>TOTAL</t>
  </si>
  <si>
    <t>Prom. Dia</t>
  </si>
  <si>
    <t>SUELDO MENSUAL PROMEDIO</t>
  </si>
  <si>
    <t>CALCULO</t>
  </si>
  <si>
    <t>PREAVISO</t>
  </si>
  <si>
    <t>Días</t>
  </si>
  <si>
    <t>x</t>
  </si>
  <si>
    <t>&gt;</t>
  </si>
  <si>
    <t>AUXILIO DE CESANTIA</t>
  </si>
  <si>
    <t xml:space="preserve">VACACIONES </t>
  </si>
  <si>
    <t>VACACIONES PROPORCIONALES</t>
  </si>
  <si>
    <t>03-feb-2025</t>
  </si>
  <si>
    <t>01-ene-2026</t>
  </si>
  <si>
    <t>92 dias de decimo cuarto ya pagados</t>
  </si>
  <si>
    <t>PRESTACIONES</t>
  </si>
  <si>
    <t>A FAVOR</t>
  </si>
  <si>
    <t>Pago I Q de Septiembre 2017</t>
  </si>
  <si>
    <t>DEDUCCIONES</t>
  </si>
  <si>
    <t>Impuesto vecinal 2017</t>
  </si>
  <si>
    <t>Pestamo Cinepolis</t>
  </si>
  <si>
    <t>I.H.S.S.</t>
  </si>
  <si>
    <t>Preaviso</t>
  </si>
  <si>
    <t>RAP</t>
  </si>
  <si>
    <t>Reseva Laboral</t>
  </si>
  <si>
    <t>RL-2017</t>
  </si>
  <si>
    <t>2 MESES de cotizar Junio y Julio</t>
  </si>
  <si>
    <t>Vacaciones Gozadas</t>
  </si>
  <si>
    <t>RESUMEN</t>
  </si>
  <si>
    <t xml:space="preserve">PRESTACIONES AL </t>
  </si>
  <si>
    <t>SALARIO MENSUAL:</t>
  </si>
  <si>
    <t>INGRESOS ADICIONALES (Horas Extras):</t>
  </si>
  <si>
    <t>Marzo</t>
  </si>
  <si>
    <t>Abril</t>
  </si>
  <si>
    <t>Mayo</t>
  </si>
  <si>
    <t>septiembre</t>
  </si>
  <si>
    <t>Junio</t>
  </si>
  <si>
    <t>octubre</t>
  </si>
  <si>
    <t>Julio</t>
  </si>
  <si>
    <t>noviembre</t>
  </si>
  <si>
    <t>Agosto</t>
  </si>
  <si>
    <t>diciembre</t>
  </si>
  <si>
    <t>Septiembre</t>
  </si>
  <si>
    <t>enero</t>
  </si>
  <si>
    <t>Suman</t>
  </si>
  <si>
    <t>febrero</t>
  </si>
  <si>
    <t>ELABORADO POR:</t>
  </si>
  <si>
    <t>REVISADO POR :</t>
  </si>
  <si>
    <t>RECIBE</t>
  </si>
  <si>
    <t>Oscar Jose Rivera Villeda</t>
  </si>
  <si>
    <t>MESES</t>
  </si>
  <si>
    <t>DECIMO TERCER MES</t>
  </si>
  <si>
    <t>DECIMO CUARTO MES</t>
  </si>
  <si>
    <t>JUAN PEREZ</t>
  </si>
  <si>
    <t>No. Identidad</t>
  </si>
  <si>
    <t>Motivo</t>
  </si>
  <si>
    <t>Renuncia inmediata</t>
  </si>
  <si>
    <t xml:space="preserve">Artículo 119. El término del preaviso empezará a contar desde el día siguiente al
de la notificación respectiva.</t>
  </si>
  <si>
    <t>AUXILIO DE CESANTIA PROPORCIONAL</t>
  </si>
  <si>
    <t>N/A</t>
  </si>
  <si>
    <t>Impuesto vecinal 2023</t>
  </si>
  <si>
    <t>Penalización 30 días de salario por incumplimiento de preaviso</t>
  </si>
  <si>
    <t xml:space="preserve">Artículo 118. El trabajador culpable de no haber dado el preaviso o de haberlo
dado sin ajustarse a los requisitos legales, quedará obligado a pagar al patrono 
una cantidad equivalente a la mitad del salario que corresponda al término del
preaviso.
En caso de que el patrono sea el culpable quedará obligado a pagar al trabajador
una cantidad equivalente a su salario durante el término del preaviso. </t>
  </si>
  <si>
    <t>Iveth Alejandra Salasar Gonzales</t>
  </si>
  <si>
    <t>Pago II Q de Septiembre 2017</t>
  </si>
  <si>
    <t>RL-2016</t>
  </si>
  <si>
    <t>Febrero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</si>
</sst>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dd-mmm-yyyy"/>
    <numFmt numFmtId="165" formatCode="&quot;L.&quot; #,##0.00"/>
    <numFmt numFmtId="166" formatCode="_ * #,##0.00_ ;_ * -#,##0.00_ ;_ * &quot;-&quot;??_ ;_ @_ "/>
    <numFmt numFmtId="167" formatCode="_(* #,##0.00_);_(* (#,##0.00);_(* &quot;-&quot;??_);_(@_)"/>
    <numFmt numFmtId="168" formatCode="_ &quot;L&quot; * #,##0.00_ ;_ &quot;L&quot; * -#,##0.00_ ;_ &quot;L&quot; * &quot;-&quot;??_ ;_ @_ "/>
    <numFmt numFmtId="169" formatCode="&quot;L&quot; #,##0.00"/>
  </numFmts>
  <fonts count="24" x14ac:knownFonts="1">
    <font>
      <color theme="1"/>
      <family val="2"/>
      <scheme val="minor"/>
      <sz val="11"/>
      <name val="Calibri"/>
    </font>
    <font>
      <b/>
      <i/>
      <u/>
      <color theme="1"/>
      <sz val="14"/>
      <name val="Times New Roman"/>
    </font>
    <font/>
    <font>
      <color theme="1"/>
      <sz val="11"/>
      <name val="Calibri"/>
    </font>
    <font>
      <u/>
      <color theme="1"/>
      <sz val="14"/>
      <name val="Times New Roman"/>
    </font>
    <font>
      <color theme="1"/>
      <sz val="14"/>
      <name val="Times New Roman"/>
    </font>
    <font>
      <b/>
      <color theme="1"/>
      <sz val="14"/>
      <name val="Times New Roman"/>
    </font>
    <font>
      <color theme="1"/>
      <sz val="10"/>
      <name val="Arial"/>
    </font>
    <font>
      <b/>
      <color theme="1"/>
      <sz val="16"/>
      <name val="Arial"/>
    </font>
    <font>
      <b/>
      <u/>
      <color theme="1"/>
      <sz val="16"/>
      <name val="Times New Roman"/>
    </font>
    <font>
      <b/>
      <u/>
      <color theme="1"/>
      <sz val="14"/>
      <name val="Times New Roman"/>
    </font>
    <font>
      <b/>
      <color theme="1"/>
      <sz val="10"/>
      <name val="Arial"/>
    </font>
    <font>
      <color theme="1"/>
      <sz val="14"/>
      <name val="Arial"/>
    </font>
    <font>
      <color theme="0"/>
      <sz val="11"/>
      <name val="Calibri"/>
    </font>
    <font>
      <color theme="1"/>
      <sz val="8"/>
      <name val="Calibri"/>
    </font>
    <font>
      <color theme="1"/>
      <sz val="10"/>
      <name val="Calibri"/>
    </font>
    <font>
      <color theme="1"/>
      <sz val="11"/>
      <name val="Arial"/>
    </font>
    <font>
      <b/>
      <color theme="1"/>
      <sz val="11"/>
      <name val="Calibri"/>
    </font>
    <font>
      <b/>
      <i/>
      <color theme="1"/>
      <sz val="11"/>
      <name val="Calibri"/>
    </font>
    <font>
      <color theme="1"/>
      <sz val="11"/>
      <name val="Times New Roman"/>
    </font>
    <font>
      <b/>
      <i/>
      <color theme="1"/>
      <sz val="12"/>
      <name val="Times New Roman"/>
    </font>
    <font>
      <b/>
      <color theme="1"/>
      <sz val="11"/>
      <name val="Times New Roman"/>
    </font>
    <font>
      <b/>
      <color theme="1"/>
      <sz val="12"/>
      <name val="Times New Roman"/>
    </font>
    <font>
      <b/>
      <color theme="1"/>
      <sz val="12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6"/>
        <bgColor theme="6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rgb="FFFFFF00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2" borderId="0" xfId="0" applyFont="1" applyFill="1"/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right"/>
    </xf>
    <xf numFmtId="0" fontId="5" fillId="2" borderId="0" xfId="0" applyFont="1" applyFill="1" applyAlignment="1">
      <alignment horizontal="center" vertical="center"/>
    </xf>
    <xf numFmtId="49" fontId="5" fillId="2" borderId="0" xfId="0" applyNumberFormat="1" applyFont="1" applyFill="1"/>
    <xf numFmtId="49" fontId="6" fillId="2" borderId="0" xfId="0" applyNumberFormat="1" applyFont="1" applyFill="1" applyAlignment="1">
      <alignment horizontal="left"/>
    </xf>
    <xf numFmtId="0" fontId="5" fillId="2" borderId="0" xfId="0" applyFont="1" applyFill="1" applyAlignment="1">
      <alignment horizontal="left"/>
    </xf>
    <xf numFmtId="49" fontId="6" fillId="2" borderId="0" xfId="0" applyNumberFormat="1" applyFont="1" applyFill="1" applyAlignment="1">
      <alignment horizontal="center"/>
    </xf>
    <xf numFmtId="49" fontId="5" fillId="2" borderId="1" xfId="0" applyNumberFormat="1" applyFont="1" applyFill="1" applyBorder="1"/>
    <xf numFmtId="164" fontId="5" fillId="2" borderId="0" xfId="0" applyNumberFormat="1" applyFont="1" applyFill="1"/>
    <xf numFmtId="3" fontId="5" fillId="2" borderId="0" xfId="0" applyNumberFormat="1" applyFont="1" applyFill="1"/>
    <xf numFmtId="0" fontId="5" fillId="2" borderId="2" xfId="0" applyFont="1" applyFill="1" applyBorder="1"/>
    <xf numFmtId="0" fontId="5" fillId="2" borderId="3" xfId="0" applyFont="1" applyFill="1" applyBorder="1"/>
    <xf numFmtId="3" fontId="5" fillId="2" borderId="3" xfId="0" applyNumberFormat="1" applyFont="1" applyFill="1" applyBorder="1"/>
    <xf numFmtId="0" fontId="5" fillId="2" borderId="4" xfId="0" applyFont="1" applyFill="1" applyBorder="1"/>
    <xf numFmtId="0" fontId="5" fillId="2" borderId="5" xfId="0" applyFont="1" applyFill="1" applyBorder="1"/>
    <xf numFmtId="0" fontId="5" fillId="2" borderId="6" xfId="0" applyFont="1" applyFill="1" applyBorder="1" applyAlignment="1">
      <alignment horizontal="center"/>
    </xf>
    <xf numFmtId="0" fontId="7" fillId="2" borderId="0" xfId="0" applyFont="1" applyFill="1"/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left"/>
    </xf>
    <xf numFmtId="0" fontId="5" fillId="2" borderId="9" xfId="0" applyFont="1" applyFill="1" applyBorder="1" applyAlignment="1">
      <alignment horizontal="center"/>
    </xf>
    <xf numFmtId="0" fontId="5" fillId="2" borderId="10" xfId="0" applyFont="1" applyFill="1" applyBorder="1"/>
    <xf numFmtId="165" fontId="5" fillId="2" borderId="11" xfId="0" applyNumberFormat="1" applyFont="1" applyFill="1" applyBorder="1"/>
    <xf numFmtId="165" fontId="8" fillId="2" borderId="0" xfId="0" applyNumberFormat="1" applyFont="1" applyFill="1" applyAlignment="1">
      <alignment horizontal="center"/>
    </xf>
    <xf numFmtId="165" fontId="5" fillId="2" borderId="12" xfId="0" applyNumberFormat="1" applyFont="1" applyFill="1" applyBorder="1"/>
    <xf numFmtId="165" fontId="5" fillId="2" borderId="13" xfId="0" applyNumberFormat="1" applyFont="1" applyFill="1" applyBorder="1"/>
    <xf numFmtId="165" fontId="5" fillId="2" borderId="14" xfId="0" applyNumberFormat="1" applyFont="1" applyFill="1" applyBorder="1"/>
    <xf numFmtId="0" fontId="5" fillId="2" borderId="15" xfId="0" applyFont="1" applyFill="1" applyBorder="1"/>
    <xf numFmtId="165" fontId="5" fillId="2" borderId="16" xfId="0" applyNumberFormat="1" applyFont="1" applyFill="1" applyBorder="1" applyAlignment="1">
      <alignment horizontal="center"/>
    </xf>
    <xf numFmtId="165" fontId="6" fillId="2" borderId="17" xfId="0" applyNumberFormat="1" applyFont="1" applyFill="1" applyBorder="1" applyAlignment="1">
      <alignment horizontal="center"/>
    </xf>
    <xf numFmtId="165" fontId="6" fillId="2" borderId="18" xfId="0" applyNumberFormat="1" applyFont="1" applyFill="1" applyBorder="1" applyAlignment="1">
      <alignment horizontal="center"/>
    </xf>
    <xf numFmtId="165" fontId="5" fillId="2" borderId="19" xfId="0" applyNumberFormat="1" applyFont="1" applyFill="1" applyBorder="1" applyAlignment="1">
      <alignment horizontal="center"/>
    </xf>
    <xf numFmtId="165" fontId="5" fillId="2" borderId="20" xfId="0" applyNumberFormat="1" applyFont="1" applyFill="1" applyBorder="1"/>
    <xf numFmtId="165" fontId="7" fillId="2" borderId="0" xfId="0" applyNumberFormat="1" applyFont="1" applyFill="1"/>
    <xf numFmtId="165" fontId="5" fillId="2" borderId="7" xfId="0" applyNumberFormat="1" applyFont="1" applyFill="1" applyBorder="1"/>
    <xf numFmtId="165" fontId="5" fillId="2" borderId="8" xfId="0" applyNumberFormat="1" applyFont="1" applyFill="1" applyBorder="1"/>
    <xf numFmtId="165" fontId="5" fillId="2" borderId="9" xfId="0" applyNumberFormat="1" applyFont="1" applyFill="1" applyBorder="1"/>
    <xf numFmtId="0" fontId="9" fillId="2" borderId="0" xfId="0" applyFont="1" applyFill="1" applyAlignment="1">
      <alignment horizontal="left"/>
    </xf>
    <xf numFmtId="0" fontId="9" fillId="2" borderId="0" xfId="0" applyFont="1" applyFill="1" applyAlignment="1">
      <alignment horizontal="center"/>
    </xf>
    <xf numFmtId="165" fontId="9" fillId="2" borderId="0" xfId="0" applyNumberFormat="1" applyFont="1" applyFill="1" applyAlignment="1">
      <alignment horizontal="center"/>
    </xf>
    <xf numFmtId="165" fontId="5" fillId="2" borderId="0" xfId="0" applyNumberFormat="1" applyFont="1" applyFill="1"/>
    <xf numFmtId="166" fontId="5" fillId="3" borderId="1" xfId="0" applyNumberFormat="1" applyFont="1" applyFill="1" applyBorder="1"/>
    <xf numFmtId="165" fontId="5" fillId="2" borderId="0" xfId="0" applyNumberFormat="1" applyFont="1" applyFill="1" applyAlignment="1">
      <alignment horizontal="center"/>
    </xf>
    <xf numFmtId="3" fontId="5" fillId="2" borderId="21" xfId="0" applyNumberFormat="1" applyFont="1" applyFill="1" applyBorder="1"/>
    <xf numFmtId="0" fontId="5" fillId="2" borderId="22" xfId="0" applyFont="1" applyFill="1" applyBorder="1"/>
    <xf numFmtId="167" fontId="5" fillId="2" borderId="1" xfId="0" applyNumberFormat="1" applyFont="1" applyFill="1" applyBorder="1"/>
    <xf numFmtId="167" fontId="5" fillId="2" borderId="0" xfId="0" applyNumberFormat="1" applyFont="1" applyFill="1"/>
    <xf numFmtId="2" fontId="5" fillId="2" borderId="0" xfId="0" applyNumberFormat="1" applyFont="1" applyFill="1"/>
    <xf numFmtId="0" fontId="5" fillId="3" borderId="0" xfId="0" applyFont="1" applyFill="1"/>
    <xf numFmtId="164" fontId="5" fillId="3" borderId="1" xfId="0" applyNumberFormat="1" applyFont="1" applyFill="1" applyBorder="1"/>
    <xf numFmtId="15" fontId="5" fillId="3" borderId="1" xfId="0" applyNumberFormat="1" applyFont="1" applyFill="1" applyBorder="1"/>
    <xf numFmtId="3" fontId="5" fillId="3" borderId="1" xfId="0" applyNumberFormat="1" applyFont="1" applyFill="1" applyBorder="1"/>
    <xf numFmtId="37" fontId="5" fillId="3" borderId="1" xfId="0" applyNumberFormat="1" applyFont="1" applyFill="1" applyBorder="1"/>
    <xf numFmtId="39" fontId="5" fillId="3" borderId="0" xfId="0" applyNumberFormat="1" applyFont="1" applyFill="1"/>
    <xf numFmtId="3" fontId="5" fillId="2" borderId="1" xfId="0" applyNumberFormat="1" applyFont="1" applyFill="1" applyBorder="1"/>
    <xf numFmtId="37" fontId="5" fillId="2" borderId="0" xfId="0" applyNumberFormat="1" applyFont="1" applyFill="1"/>
    <xf numFmtId="15" fontId="5" fillId="2" borderId="1" xfId="0" applyNumberFormat="1" applyFont="1" applyFill="1" applyBorder="1"/>
    <xf numFmtId="0" fontId="5" fillId="2" borderId="23" xfId="0" applyFont="1" applyFill="1" applyBorder="1"/>
    <xf numFmtId="165" fontId="5" fillId="2" borderId="23" xfId="0" applyNumberFormat="1" applyFont="1" applyFill="1" applyBorder="1"/>
    <xf numFmtId="165" fontId="3" fillId="2" borderId="0" xfId="0" applyNumberFormat="1" applyFont="1" applyFill="1"/>
    <xf numFmtId="165" fontId="5" fillId="2" borderId="0" xfId="0" applyNumberFormat="1" applyFont="1" applyFill="1" applyAlignment="1">
      <alignment horizontal="right"/>
    </xf>
    <xf numFmtId="0" fontId="10" fillId="2" borderId="0" xfId="0" applyFont="1" applyFill="1" applyAlignment="1">
      <alignment horizontal="left"/>
    </xf>
    <xf numFmtId="165" fontId="6" fillId="2" borderId="0" xfId="0" applyNumberFormat="1" applyFont="1" applyFill="1"/>
    <xf numFmtId="168" fontId="5" fillId="2" borderId="0" xfId="0" applyNumberFormat="1" applyFont="1" applyFill="1"/>
    <xf numFmtId="0" fontId="3" fillId="2" borderId="0" xfId="0" applyFont="1" applyFill="1" applyAlignment="1">
      <alignment horizontal="left"/>
    </xf>
    <xf numFmtId="165" fontId="4" fillId="2" borderId="0" xfId="0" applyNumberFormat="1" applyFont="1" applyFill="1" applyAlignment="1">
      <alignment horizontal="center"/>
    </xf>
    <xf numFmtId="0" fontId="5" fillId="2" borderId="24" xfId="0" applyFont="1" applyFill="1" applyBorder="1"/>
    <xf numFmtId="0" fontId="3" fillId="2" borderId="24" xfId="0" applyFont="1" applyFill="1" applyBorder="1"/>
    <xf numFmtId="165" fontId="3" fillId="2" borderId="24" xfId="0" applyNumberFormat="1" applyFont="1" applyFill="1" applyBorder="1"/>
    <xf numFmtId="165" fontId="5" fillId="2" borderId="24" xfId="0" applyNumberFormat="1" applyFont="1" applyFill="1" applyBorder="1"/>
    <xf numFmtId="167" fontId="3" fillId="2" borderId="0" xfId="0" applyNumberFormat="1" applyFont="1" applyFill="1"/>
    <xf numFmtId="0" fontId="11" fillId="2" borderId="0" xfId="0" applyFont="1" applyFill="1"/>
    <xf numFmtId="167" fontId="7" fillId="2" borderId="0" xfId="0" applyNumberFormat="1" applyFont="1" applyFill="1"/>
    <xf numFmtId="40" fontId="12" fillId="2" borderId="0" xfId="0" applyNumberFormat="1" applyFont="1" applyFill="1"/>
    <xf numFmtId="167" fontId="11" fillId="2" borderId="0" xfId="0" applyNumberFormat="1" applyFont="1" applyFill="1"/>
    <xf numFmtId="0" fontId="3" fillId="3" borderId="0" xfId="0" applyFont="1" applyFill="1"/>
    <xf numFmtId="0" fontId="13" fillId="3" borderId="0" xfId="0" applyFont="1" applyFill="1"/>
    <xf numFmtId="167" fontId="13" fillId="3" borderId="0" xfId="0" applyNumberFormat="1" applyFont="1" applyFill="1"/>
    <xf numFmtId="0" fontId="14" fillId="2" borderId="0" xfId="0" applyFont="1" applyFill="1"/>
    <xf numFmtId="0" fontId="7" fillId="2" borderId="25" xfId="0" applyFont="1" applyFill="1" applyBorder="1"/>
    <xf numFmtId="0" fontId="15" fillId="2" borderId="0" xfId="0" applyFont="1" applyFill="1"/>
    <xf numFmtId="0" fontId="15" fillId="2" borderId="0" xfId="0" applyFont="1" applyFill="1" applyAlignment="1">
      <alignment horizontal="center"/>
    </xf>
    <xf numFmtId="0" fontId="16" fillId="2" borderId="0" xfId="0" applyFont="1" applyFill="1"/>
    <xf numFmtId="0" fontId="1" fillId="2" borderId="0" xfId="0" applyFont="1" applyFill="1" applyAlignment="1">
      <alignment horizontal="center"/>
    </xf>
    <xf numFmtId="0" fontId="6" fillId="2" borderId="0" xfId="0" applyFont="1" applyFill="1"/>
    <xf numFmtId="0" fontId="17" fillId="2" borderId="0" xfId="0" applyFont="1" applyFill="1"/>
    <xf numFmtId="164" fontId="5" fillId="2" borderId="1" xfId="0" applyNumberFormat="1" applyFont="1" applyFill="1" applyBorder="1" applyAlignment="1">
      <alignment readingOrder="1"/>
    </xf>
    <xf numFmtId="0" fontId="5" fillId="2" borderId="11" xfId="0" applyFont="1" applyFill="1" applyBorder="1" applyAlignment="1">
      <alignment horizontal="center"/>
    </xf>
    <xf numFmtId="165" fontId="5" fillId="2" borderId="6" xfId="0" applyNumberFormat="1" applyFont="1" applyFill="1" applyBorder="1"/>
    <xf numFmtId="165" fontId="5" fillId="2" borderId="26" xfId="0" applyNumberFormat="1" applyFont="1" applyFill="1" applyBorder="1"/>
    <xf numFmtId="165" fontId="5" fillId="2" borderId="27" xfId="0" applyNumberFormat="1" applyFont="1" applyFill="1" applyBorder="1"/>
    <xf numFmtId="166" fontId="5" fillId="3" borderId="1" xfId="0" applyNumberFormat="1" applyFont="1" applyFill="1" applyBorder="1" applyAlignment="1">
      <alignment readingOrder="1"/>
    </xf>
    <xf numFmtId="0" fontId="18" fillId="2" borderId="0" xfId="0" applyFont="1" applyFill="1" applyAlignment="1">
      <alignment wrapText="1"/>
    </xf>
    <xf numFmtId="167" fontId="5" fillId="0" borderId="1" xfId="0" applyNumberFormat="1" applyFont="1" applyBorder="1"/>
    <xf numFmtId="0" fontId="6" fillId="4" borderId="0" xfId="0" applyFont="1" applyFill="1"/>
    <xf numFmtId="0" fontId="5" fillId="4" borderId="0" xfId="0" applyFont="1" applyFill="1"/>
    <xf numFmtId="164" fontId="5" fillId="0" borderId="1" xfId="0" applyNumberFormat="1" applyFont="1" applyBorder="1" applyAlignment="1">
      <alignment readingOrder="1"/>
    </xf>
    <xf numFmtId="37" fontId="5" fillId="0" borderId="1" xfId="0" applyNumberFormat="1" applyFont="1" applyBorder="1"/>
    <xf numFmtId="37" fontId="5" fillId="0" borderId="0" xfId="0" applyNumberFormat="1" applyFont="1"/>
    <xf numFmtId="165" fontId="5" fillId="4" borderId="0" xfId="0" applyNumberFormat="1" applyFont="1" applyFill="1"/>
    <xf numFmtId="0" fontId="19" fillId="2" borderId="0" xfId="0" applyFont="1" applyFill="1"/>
    <xf numFmtId="168" fontId="6" fillId="5" borderId="0" xfId="0" applyNumberFormat="1" applyFont="1" applyFill="1"/>
    <xf numFmtId="168" fontId="19" fillId="2" borderId="0" xfId="0" applyNumberFormat="1" applyFont="1" applyFill="1"/>
    <xf numFmtId="169" fontId="20" fillId="2" borderId="0" xfId="0" applyNumberFormat="1" applyFont="1" applyFill="1"/>
    <xf numFmtId="0" fontId="19" fillId="0" borderId="0" xfId="0" applyFont="1"/>
    <xf numFmtId="17" fontId="21" fillId="2" borderId="0" xfId="0" applyNumberFormat="1" applyFont="1" applyFill="1"/>
    <xf numFmtId="0" fontId="20" fillId="2" borderId="0" xfId="0" applyFont="1" applyFill="1"/>
    <xf numFmtId="0" fontId="22" fillId="0" borderId="0" xfId="0" applyFont="1"/>
    <xf numFmtId="168" fontId="23" fillId="0" borderId="0" xfId="0" applyNumberFormat="1" applyFont="1"/>
    <xf numFmtId="0" fontId="21" fillId="2" borderId="0" xfId="0" applyFont="1" applyFill="1"/>
    <xf numFmtId="165" fontId="6" fillId="6" borderId="24" xfId="0" applyNumberFormat="1" applyFont="1" applyFill="1" applyBorder="1"/>
    <xf numFmtId="168" fontId="22" fillId="0" borderId="0" xfId="0" applyNumberFormat="1" applyFont="1"/>
    <xf numFmtId="0" fontId="3" fillId="2" borderId="0" xfId="0" applyFont="1" applyFill="1" applyAlignment="1">
      <alignment vertical="bottom"/>
    </xf>
    <xf numFmtId="0" fontId="3" fillId="2" borderId="0" xfId="0" applyFont="1" applyFill="1" applyAlignment="1">
      <alignment horizontal="right" vertical="bottom"/>
    </xf>
    <xf numFmtId="2" fontId="3" fillId="2" borderId="0" xfId="0" applyNumberFormat="1" applyFont="1" applyFill="1"/>
    <xf numFmtId="165" fontId="5" fillId="2" borderId="28" xfId="0" applyNumberFormat="1" applyFont="1" applyFill="1" applyBorder="1"/>
    <xf numFmtId="168" fontId="3" fillId="2" borderId="0" xfId="0" applyNumberFormat="1" applyFont="1" applyFill="1"/>
    <xf numFmtId="0" fontId="13" fillId="2" borderId="0" xfId="0" applyFont="1" applyFill="1"/>
    <xf numFmtId="167" fontId="1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zoomScale="100" zoomScaleNormal="100"/>
  </sheetViews>
  <sheetFormatPr defaultRowHeight="15" outlineLevelRow="0" outlineLevelCol="0" x14ac:dyDescent="0" defaultColWidth="14.43"/>
  <cols>
    <col min="1" max="1" width="18.14" customWidth="1"/>
    <col min="2" max="2" width="16.43" customWidth="1"/>
    <col min="3" max="3" width="16.86" customWidth="1"/>
    <col min="4" max="4" width="18.43" customWidth="1"/>
    <col min="5" max="5" width="19" customWidth="1"/>
    <col min="6" max="6" width="8.43" customWidth="1"/>
    <col min="7" max="9" width="20.71" customWidth="1"/>
    <col min="10" max="10" width="7.43" customWidth="1"/>
    <col min="11" max="11" width="11.43" customWidth="1"/>
    <col min="12" max="12" width="14.86" customWidth="1"/>
    <col min="13" max="13" width="11.86" customWidth="1"/>
    <col min="14" max="15" width="10.43" customWidth="1"/>
    <col min="16" max="26" width="11.43" customWidth="1"/>
  </cols>
  <sheetData>
    <row r="1" ht="29.25" customHeight="1" spans="1:26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4"/>
      <c r="B2" s="5"/>
      <c r="C2" s="5"/>
      <c r="D2" s="5"/>
      <c r="E2" s="5"/>
      <c r="F2" s="5"/>
      <c r="G2" s="5"/>
      <c r="H2" s="6" t="s">
        <v>1</v>
      </c>
      <c r="I2" s="7">
        <v>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8" t="s">
        <v>2</v>
      </c>
      <c r="B3" s="8"/>
      <c r="C3" s="8"/>
      <c r="D3" s="9" t="s">
        <v>3</v>
      </c>
      <c r="E3" s="3"/>
      <c r="F3" s="10"/>
      <c r="G3" s="10"/>
      <c r="H3" s="10" t="s">
        <v>4</v>
      </c>
      <c r="I3" s="11" t="s">
        <v>5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8"/>
      <c r="B4" s="8"/>
      <c r="C4" s="8"/>
      <c r="D4" s="8"/>
      <c r="E4" s="8"/>
      <c r="F4" s="8"/>
      <c r="G4" s="8"/>
      <c r="H4" s="8"/>
      <c r="I4" s="8" t="s">
        <v>6</v>
      </c>
      <c r="J4" s="8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8" t="s">
        <v>7</v>
      </c>
      <c r="B5" s="8"/>
      <c r="C5" s="8"/>
      <c r="D5" s="8"/>
      <c r="E5" s="12" t="s">
        <v>8</v>
      </c>
      <c r="F5" s="8"/>
      <c r="G5" s="8"/>
      <c r="H5" s="8"/>
      <c r="I5" s="8"/>
      <c r="J5" s="3"/>
      <c r="K5" s="3"/>
      <c r="L5" s="3" t="s">
        <v>9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8"/>
      <c r="B6" s="8"/>
      <c r="C6" s="8"/>
      <c r="D6" s="8"/>
      <c r="E6" s="13"/>
      <c r="F6" s="8"/>
      <c r="G6" s="8"/>
      <c r="H6" s="8"/>
      <c r="I6" s="8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8" t="s">
        <v>10</v>
      </c>
      <c r="B7" s="8"/>
      <c r="C7" s="8"/>
      <c r="D7" s="8"/>
      <c r="E7" s="12" t="s">
        <v>11</v>
      </c>
      <c r="F7" s="8"/>
      <c r="G7" s="8"/>
      <c r="H7" s="8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8"/>
      <c r="B8" s="8"/>
      <c r="C8" s="8"/>
      <c r="D8" s="8"/>
      <c r="E8" s="8"/>
      <c r="F8" s="8">
        <f>D9*360</f>
        <v>360</v>
      </c>
      <c r="G8" s="14">
        <f>C17-F8</f>
        <v>301</v>
      </c>
      <c r="H8" s="8"/>
      <c r="I8" s="8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8" t="s">
        <v>12</v>
      </c>
      <c r="B9" s="8"/>
      <c r="C9" s="8">
        <v>1</v>
      </c>
      <c r="D9" s="15">
        <f>ROUND(C17/360-0.49,0)</f>
        <v>1</v>
      </c>
      <c r="E9" s="16" t="s">
        <v>13</v>
      </c>
      <c r="F9" s="16">
        <f>ROUND(G8/30-0.49,0)</f>
        <v>10</v>
      </c>
      <c r="G9" s="16">
        <v>11</v>
      </c>
      <c r="H9" s="17">
        <f>C17-F8-F9*30</f>
        <v>1</v>
      </c>
      <c r="I9" s="18" t="s">
        <v>14</v>
      </c>
      <c r="J9" s="3"/>
      <c r="K9" s="3">
        <v>29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8"/>
      <c r="B10" s="8"/>
      <c r="C10" s="6"/>
      <c r="D10" s="19"/>
      <c r="E10" s="20" t="s">
        <v>15</v>
      </c>
      <c r="F10" s="21"/>
      <c r="G10" s="22" t="s">
        <v>16</v>
      </c>
      <c r="H10" s="23" t="s">
        <v>17</v>
      </c>
      <c r="I10" s="24" t="s">
        <v>18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8" t="s">
        <v>19</v>
      </c>
      <c r="B11" s="8"/>
      <c r="C11" s="8"/>
      <c r="D11" s="25" t="s">
        <v>20</v>
      </c>
      <c r="E11" s="26">
        <v>50000</v>
      </c>
      <c r="F11" s="27"/>
      <c r="G11" s="28">
        <f>+D64</f>
        <v>23150</v>
      </c>
      <c r="H11" s="29">
        <f>D64*1.16666666666667</f>
        <v>27008.33333</v>
      </c>
      <c r="I11" s="30">
        <f>E13</f>
        <v>28350.22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8"/>
      <c r="B12" s="8"/>
      <c r="C12" s="6" t="s">
        <v>21</v>
      </c>
      <c r="D12" s="31"/>
      <c r="E12" s="32" t="s">
        <v>22</v>
      </c>
      <c r="F12" s="27"/>
      <c r="G12" s="33" t="s">
        <v>23</v>
      </c>
      <c r="H12" s="34" t="s">
        <v>23</v>
      </c>
      <c r="I12" s="35" t="s">
        <v>24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8" t="s">
        <v>25</v>
      </c>
      <c r="B13" s="8"/>
      <c r="C13" s="8"/>
      <c r="D13" s="25" t="s">
        <v>20</v>
      </c>
      <c r="E13" s="36">
        <v>50000</v>
      </c>
      <c r="F13" s="37"/>
      <c r="G13" s="38">
        <f t="shared" ref="G13:H13" si="0">G11/30</f>
        <v>771.6666667</v>
      </c>
      <c r="H13" s="39">
        <f t="shared" si="0"/>
        <v>900.2777778</v>
      </c>
      <c r="I13" s="40">
        <v>1666.6666666666667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41" t="s">
        <v>26</v>
      </c>
      <c r="B14" s="42"/>
      <c r="C14" s="42"/>
      <c r="D14" s="42"/>
      <c r="E14" s="43"/>
      <c r="F14" s="43"/>
      <c r="G14" s="43"/>
      <c r="H14" s="43"/>
      <c r="I14" s="4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8"/>
      <c r="B15" s="8"/>
      <c r="C15" s="8"/>
      <c r="D15" s="8"/>
      <c r="E15" s="44"/>
      <c r="F15" s="44"/>
      <c r="G15" s="44"/>
      <c r="H15" s="44"/>
      <c r="I15" s="4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8" t="s">
        <v>27</v>
      </c>
      <c r="B16" s="8"/>
      <c r="C16" s="8">
        <v>30</v>
      </c>
      <c r="D16" s="45">
        <f>IF(C17&lt;90,1,IF(C17&lt;180,7,IF(C17&lt;360,14,IF(C17&lt;720,30,IF(C17&gt;=720,60)))))</f>
        <v>30</v>
      </c>
      <c r="E16" s="46" t="s">
        <v>28</v>
      </c>
      <c r="F16" s="46" t="s">
        <v>29</v>
      </c>
      <c r="G16" s="44">
        <v>50000</v>
      </c>
      <c r="H16" s="44"/>
      <c r="I16" s="44">
        <f>G16*D16</f>
        <v>28350.22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8"/>
      <c r="B17" s="8"/>
      <c r="C17" s="47">
        <f>DAYS360(E5,E7)+1</f>
        <v>661</v>
      </c>
      <c r="D17" s="48" t="s">
        <v>30</v>
      </c>
      <c r="E17" s="46"/>
      <c r="F17" s="44"/>
      <c r="G17" s="44"/>
      <c r="H17" s="44"/>
      <c r="I17" s="4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8" t="s">
        <v>31</v>
      </c>
      <c r="B18" s="8"/>
      <c r="C18" s="8"/>
      <c r="D18" s="49">
        <f>IF(C17&lt;90,0,IF(C17&lt;180,10,IF(C17&lt;360,20,IF(C17&lt;5400,ROUND(C17*30/360,2),IF(C17&gt;=5400,450)))))</f>
        <v>55.08</v>
      </c>
      <c r="E18" s="46" t="s">
        <v>28</v>
      </c>
      <c r="F18" s="46" t="s">
        <v>29</v>
      </c>
      <c r="G18" s="44">
        <f>+I13</f>
        <v>945.0073333</v>
      </c>
      <c r="H18" s="44"/>
      <c r="I18" s="44">
        <f>G18*D18</f>
        <v>52051.00392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14"/>
      <c r="B19" s="8"/>
      <c r="C19" s="8">
        <v>150</v>
      </c>
      <c r="D19" s="8"/>
      <c r="E19" s="46"/>
      <c r="F19" s="44"/>
      <c r="G19" s="44">
        <v>250000</v>
      </c>
      <c r="H19" s="44"/>
      <c r="I19" s="44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8" t="s">
        <v>32</v>
      </c>
      <c r="B20" s="8"/>
      <c r="C20" s="49">
        <v>18.333333333333332</v>
      </c>
      <c r="D20" s="50">
        <f>+C20</f>
      </c>
      <c r="E20" s="46" t="s">
        <v>28</v>
      </c>
      <c r="F20" s="46" t="s">
        <v>29</v>
      </c>
      <c r="G20" s="44">
        <v>30555.56</v>
      </c>
      <c r="H20" s="44"/>
      <c r="I20" s="44">
        <f>+G20*D20</f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 spans="1:26" x14ac:dyDescent="0.25">
      <c r="A21" s="8"/>
      <c r="B21" s="8"/>
      <c r="C21" s="8"/>
      <c r="D21" s="51"/>
      <c r="E21" s="46"/>
      <c r="F21" s="46"/>
      <c r="G21" s="44"/>
      <c r="H21" s="44"/>
      <c r="I21" s="44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 spans="1:26" x14ac:dyDescent="0.25">
      <c r="A22" s="52" t="s">
        <v>33</v>
      </c>
      <c r="B22" s="52"/>
      <c r="C22" s="52">
        <v>12</v>
      </c>
      <c r="D22" s="51">
        <f>ROUND(C23*A24/360,2)</f>
        <v>10.03</v>
      </c>
      <c r="E22" s="46" t="s">
        <v>28</v>
      </c>
      <c r="F22" s="46" t="s">
        <v>29</v>
      </c>
      <c r="G22" s="44">
        <f>+H13</f>
        <v>900.2777778</v>
      </c>
      <c r="H22" s="44"/>
      <c r="I22" s="44">
        <f>D22*G22</f>
        <v>9029.786111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 spans="1:26" x14ac:dyDescent="0.25">
      <c r="A23" s="53">
        <v>42683</v>
      </c>
      <c r="B23" s="54">
        <f>E7</f>
        <v>42987</v>
      </c>
      <c r="C23" s="55">
        <v>12</v>
      </c>
      <c r="D23" s="3"/>
      <c r="E23" s="46">
        <v>12</v>
      </c>
      <c r="F23" s="46"/>
      <c r="G23" s="44">
        <v>20000</v>
      </c>
      <c r="H23" s="44"/>
      <c r="I23" s="44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 spans="1:26" x14ac:dyDescent="0.25">
      <c r="A24" s="56">
        <v>12</v>
      </c>
      <c r="B24" s="57"/>
      <c r="C24" s="52"/>
      <c r="D24" s="8"/>
      <c r="E24" s="46"/>
      <c r="F24" s="46"/>
      <c r="G24" s="44"/>
      <c r="H24" s="44"/>
      <c r="I24" s="44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 spans="1:26" x14ac:dyDescent="0.25">
      <c r="A25" s="8" t="s">
        <v>34</v>
      </c>
      <c r="B25" s="8" t="s">
        <v>11</v>
      </c>
      <c r="C25" s="8">
        <v>11.929998000000001</v>
      </c>
      <c r="D25" s="50">
        <f>ROUND(C26*30/360,2)</f>
        <v>20.75</v>
      </c>
      <c r="E25" s="46" t="s">
        <v>28</v>
      </c>
      <c r="F25" s="46" t="s">
        <v>29</v>
      </c>
      <c r="G25" s="44">
        <v>19883.33</v>
      </c>
      <c r="H25" s="44"/>
      <c r="I25" s="44">
        <f>G25*D25</f>
        <v>16012.08333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 spans="1:26" x14ac:dyDescent="0.25">
      <c r="A26" s="12">
        <v>12</v>
      </c>
      <c r="B26" s="12">
        <f>+E7</f>
        <v>42987</v>
      </c>
      <c r="C26" s="58">
        <v>363</v>
      </c>
      <c r="D26" s="51"/>
      <c r="E26" s="46"/>
      <c r="F26" s="46"/>
      <c r="G26" s="44"/>
      <c r="H26" s="44"/>
      <c r="I26" s="44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 spans="1:26" x14ac:dyDescent="0.25">
      <c r="A27" s="59"/>
      <c r="B27" s="8"/>
      <c r="C27" s="8"/>
      <c r="D27" s="8"/>
      <c r="E27" s="46"/>
      <c r="F27" s="46"/>
      <c r="G27" s="44"/>
      <c r="H27" s="44"/>
      <c r="I27" s="44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 spans="1:26" x14ac:dyDescent="0.25">
      <c r="A28" s="8" t="s">
        <v>35</v>
      </c>
      <c r="B28" s="8" t="s">
        <v>11</v>
      </c>
      <c r="C28" s="8">
        <v>32</v>
      </c>
      <c r="D28" s="50">
        <f>ROUND(C29*30/360,2)</f>
        <v>5.75</v>
      </c>
      <c r="E28" s="46" t="s">
        <v>28</v>
      </c>
      <c r="F28" s="46" t="s">
        <v>29</v>
      </c>
      <c r="G28" s="44">
        <v>4383.56</v>
      </c>
      <c r="H28" s="44"/>
      <c r="I28" s="44">
        <f>G28*D28</f>
        <v>4437.083333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 spans="1:26" x14ac:dyDescent="0.25">
      <c r="A29" s="12">
        <v>42917</v>
      </c>
      <c r="B29" s="60">
        <f>+E7</f>
        <v>42987</v>
      </c>
      <c r="C29" s="58">
        <v>32</v>
      </c>
      <c r="D29" s="51"/>
      <c r="E29" s="46"/>
      <c r="F29" s="46"/>
      <c r="G29" s="44"/>
      <c r="H29" s="44"/>
      <c r="I29" s="44"/>
      <c r="J29" s="3"/>
      <c r="K29" s="3"/>
      <c r="L29" s="3" t="s">
        <v>36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 spans="1:26" x14ac:dyDescent="0.25">
      <c r="A30" s="61" t="s">
        <v>23</v>
      </c>
      <c r="B30" s="61"/>
      <c r="C30" s="61"/>
      <c r="D30" s="61"/>
      <c r="E30" s="62"/>
      <c r="F30" s="62"/>
      <c r="G30" s="62"/>
      <c r="H30" s="62"/>
      <c r="I30" s="62">
        <f>SUM(I16:I28)</f>
        <v>109880.1767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 spans="1:26" x14ac:dyDescent="0.25">
      <c r="A31" s="8"/>
      <c r="B31" s="8"/>
      <c r="C31" s="8">
        <v>0</v>
      </c>
      <c r="D31" s="8"/>
      <c r="E31" s="44"/>
      <c r="F31" s="44"/>
      <c r="G31" s="44">
        <v>0</v>
      </c>
      <c r="H31" s="44"/>
      <c r="I31" s="44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 spans="1:26" x14ac:dyDescent="0.25">
      <c r="A32" s="8" t="s">
        <v>37</v>
      </c>
      <c r="B32" s="8"/>
      <c r="C32" s="8"/>
      <c r="D32" s="3"/>
      <c r="E32" s="63"/>
      <c r="F32" s="44"/>
      <c r="G32" s="44"/>
      <c r="H32" s="64" t="s">
        <v>20</v>
      </c>
      <c r="I32" s="44">
        <f>SUM(I16:I28)</f>
        <v>109880.1767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 spans="1:26" x14ac:dyDescent="0.25">
      <c r="A33" s="8"/>
      <c r="B33" s="8"/>
      <c r="C33" s="8"/>
      <c r="D33" s="3"/>
      <c r="E33" s="63"/>
      <c r="F33" s="44"/>
      <c r="G33" s="44">
        <v>374822.45</v>
      </c>
      <c r="H33" s="64"/>
      <c r="I33" s="44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 spans="1:26" x14ac:dyDescent="0.25">
      <c r="A34" s="65" t="s">
        <v>38</v>
      </c>
      <c r="B34" s="2"/>
      <c r="C34" s="8"/>
      <c r="D34" s="3"/>
      <c r="E34" s="63"/>
      <c r="F34" s="44"/>
      <c r="G34" s="44"/>
      <c r="H34" s="64"/>
      <c r="I34" s="44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 spans="1:26" x14ac:dyDescent="0.25">
      <c r="A35" s="8"/>
      <c r="B35" s="8" t="s">
        <v>39</v>
      </c>
      <c r="C35" s="8"/>
      <c r="D35" s="3"/>
      <c r="E35" s="63"/>
      <c r="F35" s="46"/>
      <c r="G35" s="44"/>
      <c r="H35" s="64">
        <v>374822.45</v>
      </c>
      <c r="I35" s="64">
        <v>6945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 spans="1:26" x14ac:dyDescent="0.25">
      <c r="A36" s="8"/>
      <c r="B36" s="3"/>
      <c r="C36" s="8"/>
      <c r="D36" s="3"/>
      <c r="E36" s="63"/>
      <c r="F36" s="46"/>
      <c r="G36" s="44"/>
      <c r="H36" s="64"/>
      <c r="I36" s="64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 spans="1:26" x14ac:dyDescent="0.25">
      <c r="A37" s="8"/>
      <c r="B37" s="3"/>
      <c r="C37" s="8"/>
      <c r="D37" s="3"/>
      <c r="E37" s="63"/>
      <c r="F37" s="46"/>
      <c r="G37" s="44"/>
      <c r="H37" s="64"/>
      <c r="I37" s="66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 spans="1:26" x14ac:dyDescent="0.25">
      <c r="A38" s="65" t="s">
        <v>40</v>
      </c>
      <c r="B38" s="2"/>
      <c r="C38" s="8"/>
      <c r="D38" s="3"/>
      <c r="E38" s="63"/>
      <c r="F38" s="44"/>
      <c r="G38" s="44"/>
      <c r="H38" s="64"/>
      <c r="I38" s="44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 spans="1:26" x14ac:dyDescent="0.25">
      <c r="A39" s="65"/>
      <c r="B39" s="8" t="s">
        <v>41</v>
      </c>
      <c r="C39" s="8"/>
      <c r="D39" s="3"/>
      <c r="E39" s="63"/>
      <c r="F39" s="44"/>
      <c r="G39" s="44"/>
      <c r="H39" s="64"/>
      <c r="I39" s="44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 spans="1:26" x14ac:dyDescent="0.25">
      <c r="A40" s="3"/>
      <c r="B40" s="8" t="s">
        <v>42</v>
      </c>
      <c r="C40" s="3"/>
      <c r="D40" s="3"/>
      <c r="E40" s="63"/>
      <c r="F40" s="44"/>
      <c r="G40" s="44"/>
      <c r="H40" s="64"/>
      <c r="I40" s="67">
        <v>-11574.96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 spans="1:26" x14ac:dyDescent="0.25">
      <c r="A41" s="3"/>
      <c r="B41" s="8" t="s">
        <v>43</v>
      </c>
      <c r="C41" s="8"/>
      <c r="D41" s="3"/>
      <c r="E41" s="63"/>
      <c r="F41" s="44"/>
      <c r="G41" s="44"/>
      <c r="H41" s="64"/>
      <c r="I41" s="67">
        <v>-424.64</v>
      </c>
      <c r="J41" s="3"/>
      <c r="K41" s="3"/>
      <c r="L41" s="4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 spans="1:26" x14ac:dyDescent="0.25">
      <c r="A42" s="3"/>
      <c r="B42" s="8" t="s">
        <v>44</v>
      </c>
      <c r="C42" s="8"/>
      <c r="D42" s="3"/>
      <c r="E42" s="63"/>
      <c r="F42" s="44"/>
      <c r="G42" s="44"/>
      <c r="H42" s="64"/>
      <c r="I42" s="67">
        <f>0</f>
        <v>0</v>
      </c>
      <c r="J42" s="3"/>
      <c r="K42" s="3"/>
      <c r="L42" s="44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 spans="1:26" x14ac:dyDescent="0.25">
      <c r="A43" s="3"/>
      <c r="B43" s="8" t="s">
        <v>45</v>
      </c>
      <c r="C43" s="8"/>
      <c r="D43" s="3"/>
      <c r="E43" s="63"/>
      <c r="F43" s="44"/>
      <c r="G43" s="44"/>
      <c r="H43" s="64"/>
      <c r="I43" s="67">
        <v>-227.88</v>
      </c>
      <c r="J43" s="3"/>
      <c r="K43" s="3"/>
      <c r="L43" s="44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 spans="1:26" x14ac:dyDescent="0.25">
      <c r="A44" s="3"/>
      <c r="B44" s="8" t="s">
        <v>46</v>
      </c>
      <c r="C44" s="8"/>
      <c r="D44" s="3"/>
      <c r="E44" s="63"/>
      <c r="F44" s="44"/>
      <c r="G44" s="44"/>
      <c r="H44" s="64"/>
      <c r="I44" s="67">
        <v>0</v>
      </c>
      <c r="J44" s="3"/>
      <c r="K44" s="3"/>
      <c r="L44" s="68">
        <f>113.87*2</f>
        <v>227.74</v>
      </c>
      <c r="M44" s="3" t="s">
        <v>47</v>
      </c>
      <c r="N44" s="3" t="s">
        <v>48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 spans="1:26" x14ac:dyDescent="0.25">
      <c r="A45" s="3"/>
      <c r="B45" s="8" t="s">
        <v>49</v>
      </c>
      <c r="C45" s="8"/>
      <c r="D45" s="3"/>
      <c r="E45" s="63"/>
      <c r="F45" s="44"/>
      <c r="G45" s="44"/>
      <c r="H45" s="64"/>
      <c r="I45" s="67">
        <v>0</v>
      </c>
      <c r="J45" s="3"/>
      <c r="K45" s="3"/>
      <c r="L45" s="44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 spans="1:26" x14ac:dyDescent="0.25">
      <c r="A46" s="3"/>
      <c r="B46" s="8"/>
      <c r="C46" s="8"/>
      <c r="E46" s="63"/>
      <c r="F46" s="44"/>
      <c r="G46" s="44"/>
      <c r="H46" s="64"/>
      <c r="I46" s="67"/>
      <c r="J46" s="3"/>
      <c r="K46" s="3"/>
      <c r="L46" s="44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 spans="1:26" x14ac:dyDescent="0.25">
      <c r="A47" s="65" t="s">
        <v>50</v>
      </c>
      <c r="B47" s="4"/>
      <c r="C47" s="4"/>
      <c r="D47" s="4"/>
      <c r="E47" s="69"/>
      <c r="F47" s="69"/>
      <c r="G47" s="69"/>
      <c r="H47" s="69"/>
      <c r="I47" s="46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 spans="1:26" x14ac:dyDescent="0.25">
      <c r="A48" s="3"/>
      <c r="B48" s="3"/>
      <c r="C48" s="3"/>
      <c r="D48" s="3"/>
      <c r="E48" s="63"/>
      <c r="F48" s="63"/>
      <c r="G48" s="63"/>
      <c r="H48" s="63"/>
      <c r="I48" s="6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 spans="1:26" x14ac:dyDescent="0.25">
      <c r="A49" s="10" t="s">
        <v>51</v>
      </c>
      <c r="B49" s="10"/>
      <c r="C49" s="13">
        <f>E7</f>
        <v>42987</v>
      </c>
      <c r="D49" s="3"/>
      <c r="E49" s="63"/>
      <c r="F49" s="44"/>
      <c r="G49" s="44"/>
      <c r="H49" s="64" t="s">
        <v>20</v>
      </c>
      <c r="I49" s="44">
        <f>SUM(I32:I48)</f>
        <v>104597.6967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 spans="1:26" x14ac:dyDescent="0.25">
      <c r="A50" s="10"/>
      <c r="B50" s="10"/>
      <c r="C50" s="13"/>
      <c r="D50" s="3"/>
      <c r="E50" s="63"/>
      <c r="F50" s="44"/>
      <c r="G50" s="44"/>
      <c r="H50" s="64"/>
      <c r="I50" s="44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 spans="1:26" x14ac:dyDescent="0.25">
      <c r="A51" s="8"/>
      <c r="B51" s="8"/>
      <c r="C51" s="8"/>
      <c r="D51" s="3"/>
      <c r="E51" s="63"/>
      <c r="F51" s="44"/>
      <c r="G51" s="44"/>
      <c r="H51" s="64"/>
      <c r="I51" s="44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 spans="1:26" x14ac:dyDescent="0.25">
      <c r="A52" s="70" t="s">
        <v>23</v>
      </c>
      <c r="B52" s="70" t="s">
        <v>11</v>
      </c>
      <c r="C52" s="70"/>
      <c r="D52" s="71"/>
      <c r="E52" s="72"/>
      <c r="F52" s="73"/>
      <c r="G52" s="73"/>
      <c r="H52" s="64">
        <v>374822.45</v>
      </c>
      <c r="I52" s="73">
        <f>SUM(I49:I51)</f>
        <v>104597.6967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 spans="1:26" x14ac:dyDescent="0.25">
      <c r="A53" s="6"/>
      <c r="B53" s="8"/>
      <c r="C53" s="8"/>
      <c r="D53" s="6"/>
      <c r="E53" s="50"/>
      <c r="F53" s="8"/>
      <c r="G53" s="8"/>
      <c r="H53" s="8"/>
      <c r="I53" s="8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 spans="1:26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 spans="1:26" x14ac:dyDescent="0.25">
      <c r="A55" s="6"/>
      <c r="B55" s="8"/>
      <c r="C55" s="8"/>
      <c r="D55" s="6"/>
      <c r="E55" s="50"/>
      <c r="F55" s="8"/>
      <c r="G55" s="8"/>
      <c r="H55" s="3">
        <v>374822.45</v>
      </c>
      <c r="I55" s="3"/>
      <c r="J55" s="3"/>
      <c r="K55" s="3"/>
      <c r="L55" s="74">
        <f>C64+G64</f>
        <v>146951.34</v>
      </c>
      <c r="M55" s="3"/>
      <c r="N55" s="3">
        <f>I35/15</f>
        <v>463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 spans="1:26" x14ac:dyDescent="0.25">
      <c r="A56" s="75" t="s">
        <v>52</v>
      </c>
      <c r="B56" s="3"/>
      <c r="C56" s="3"/>
      <c r="D56" s="3"/>
      <c r="E56" s="75" t="s">
        <v>53</v>
      </c>
      <c r="F56" s="3"/>
      <c r="G56" s="3"/>
      <c r="H56" s="3"/>
      <c r="I56" s="3"/>
      <c r="J56" s="3"/>
      <c r="K56" s="3"/>
      <c r="L56" s="63"/>
      <c r="M56" s="3"/>
      <c r="N56" s="3">
        <f>N55*2</f>
        <v>926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 spans="1:26" x14ac:dyDescent="0.25">
      <c r="A57" s="3" t="s">
        <v>54</v>
      </c>
      <c r="B57" s="3">
        <v>2017</v>
      </c>
      <c r="C57" s="3">
        <v>0</v>
      </c>
      <c r="D57" s="3"/>
      <c r="E57" s="3" t="s">
        <v>54</v>
      </c>
      <c r="F57" s="3">
        <v>2017</v>
      </c>
      <c r="G57" s="76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 spans="1:26" x14ac:dyDescent="0.25">
      <c r="A58" s="3" t="s">
        <v>55</v>
      </c>
      <c r="B58" s="3">
        <v>2017</v>
      </c>
      <c r="C58" s="3">
        <v>23150</v>
      </c>
      <c r="D58" s="3"/>
      <c r="E58" s="3" t="s">
        <v>55</v>
      </c>
      <c r="F58" s="3">
        <v>2017</v>
      </c>
      <c r="G58" s="76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 spans="1:26" x14ac:dyDescent="0.25">
      <c r="A59" s="3" t="s">
        <v>56</v>
      </c>
      <c r="B59" s="3">
        <v>2017</v>
      </c>
      <c r="C59" s="3">
        <v>23150</v>
      </c>
      <c r="D59" s="3"/>
      <c r="E59" s="3" t="s">
        <v>56</v>
      </c>
      <c r="F59" s="3">
        <v>2017</v>
      </c>
      <c r="G59" s="76">
        <v>0</v>
      </c>
      <c r="H59" s="3"/>
      <c r="I59" s="3"/>
      <c r="J59" s="77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 spans="1:26" x14ac:dyDescent="0.25">
      <c r="A60" s="3" t="s">
        <v>57</v>
      </c>
      <c r="B60" s="3">
        <v>2025</v>
      </c>
      <c r="C60" s="3">
        <v>50000</v>
      </c>
      <c r="D60" s="3"/>
      <c r="E60" s="3" t="s">
        <v>58</v>
      </c>
      <c r="F60" s="3">
        <v>2017</v>
      </c>
      <c r="G60" s="76"/>
      <c r="H60" s="3"/>
      <c r="I60" s="3"/>
      <c r="J60" s="77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 spans="1:26" x14ac:dyDescent="0.25">
      <c r="A61" s="3" t="s">
        <v>59</v>
      </c>
      <c r="B61" s="3">
        <v>2025</v>
      </c>
      <c r="C61" s="3">
        <v>50000</v>
      </c>
      <c r="D61" s="3"/>
      <c r="E61" s="3" t="s">
        <v>60</v>
      </c>
      <c r="F61" s="3">
        <v>2017</v>
      </c>
      <c r="G61" s="76">
        <v>8051.34</v>
      </c>
      <c r="H61" s="3"/>
      <c r="I61" s="3"/>
      <c r="J61" s="77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 spans="1:26" x14ac:dyDescent="0.25">
      <c r="A62" s="3" t="s">
        <v>61</v>
      </c>
      <c r="B62" s="3">
        <v>2025</v>
      </c>
      <c r="C62" s="3">
        <v>50000</v>
      </c>
      <c r="D62" s="3"/>
      <c r="E62" s="3" t="s">
        <v>62</v>
      </c>
      <c r="F62" s="3">
        <v>2017</v>
      </c>
      <c r="G62" s="76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 spans="1:26" x14ac:dyDescent="0.25">
      <c r="A63" s="3" t="s">
        <v>63</v>
      </c>
      <c r="B63" s="3">
        <v>2025</v>
      </c>
      <c r="C63" s="3">
        <v>50000</v>
      </c>
      <c r="D63" s="3"/>
      <c r="E63" s="3" t="s">
        <v>64</v>
      </c>
      <c r="F63" s="3">
        <v>2017</v>
      </c>
      <c r="G63" s="76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 spans="1:26" x14ac:dyDescent="0.25">
      <c r="A64" s="75" t="s">
        <v>65</v>
      </c>
      <c r="B64" s="75">
        <v>2026</v>
      </c>
      <c r="C64" s="78">
        <v>50000</v>
      </c>
      <c r="D64" s="78">
        <f>(C64/6)*1</f>
        <v>23150</v>
      </c>
      <c r="E64" s="75" t="s">
        <v>66</v>
      </c>
      <c r="F64" s="75"/>
      <c r="G64" s="78">
        <f>SUM(G57:G63)</f>
        <v>8051.34</v>
      </c>
      <c r="H64" s="78">
        <f>(G64/180)*30</f>
        <v>1341.89</v>
      </c>
      <c r="I64" s="3"/>
      <c r="J64" s="3"/>
      <c r="K64" s="79"/>
      <c r="L64" s="79"/>
      <c r="M64" s="79"/>
      <c r="N64" s="79"/>
      <c r="O64" s="79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 spans="1:26" x14ac:dyDescent="0.25">
      <c r="A65" s="3" t="s">
        <v>67</v>
      </c>
      <c r="B65" s="3">
        <v>2026</v>
      </c>
      <c r="C65" s="3">
        <v>50000</v>
      </c>
      <c r="D65" s="3"/>
      <c r="E65" s="3"/>
      <c r="F65" s="3"/>
      <c r="G65" s="3"/>
      <c r="H65" s="3"/>
      <c r="I65" s="3"/>
      <c r="J65" s="3"/>
      <c r="K65" s="79"/>
      <c r="L65" s="79"/>
      <c r="M65" s="79"/>
      <c r="N65" s="79"/>
      <c r="O65" s="79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 spans="1:26" x14ac:dyDescent="0.25">
      <c r="A66" s="3"/>
      <c r="B66" s="3"/>
      <c r="C66" s="3">
        <v>300000</v>
      </c>
      <c r="D66" s="3"/>
      <c r="E66" s="3">
        <v>50000</v>
      </c>
      <c r="F66" s="3"/>
      <c r="G66" s="3"/>
      <c r="H66" s="3"/>
      <c r="I66" s="3"/>
      <c r="J66" s="3"/>
      <c r="K66" s="79"/>
      <c r="L66" s="79"/>
      <c r="M66" s="79"/>
      <c r="N66" s="79"/>
      <c r="O66" s="79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 spans="1:26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79"/>
      <c r="L67" s="80">
        <f>+D64*1.16</f>
        <v>26854</v>
      </c>
      <c r="M67" s="80"/>
      <c r="N67" s="79"/>
      <c r="O67" s="79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 spans="1:26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79"/>
      <c r="L68" s="81">
        <f>+L67+H64</f>
        <v>28195.89</v>
      </c>
      <c r="M68" s="80"/>
      <c r="N68" s="79"/>
      <c r="O68" s="79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 spans="1:26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79"/>
      <c r="L69" s="79"/>
      <c r="M69" s="79"/>
      <c r="N69" s="79"/>
      <c r="O69" s="79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 spans="1:26" x14ac:dyDescent="0.25">
      <c r="A70" s="82"/>
      <c r="B70" s="82"/>
      <c r="C70" s="82"/>
      <c r="D70" s="82"/>
      <c r="E70" s="82"/>
      <c r="F70" s="3"/>
      <c r="G70" s="3"/>
      <c r="H70" s="3"/>
      <c r="I70" s="3"/>
      <c r="J70" s="3"/>
      <c r="K70" s="79"/>
      <c r="L70" s="79"/>
      <c r="M70" s="79"/>
      <c r="N70" s="79"/>
      <c r="O70" s="79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 spans="1:26" x14ac:dyDescent="0.25">
      <c r="A71" s="83"/>
      <c r="B71" s="83"/>
      <c r="C71" s="21"/>
      <c r="D71" s="83"/>
      <c r="E71" s="83"/>
      <c r="F71" s="84"/>
      <c r="G71" s="83"/>
      <c r="H71" s="83"/>
      <c r="I71" s="84"/>
      <c r="J71" s="3"/>
      <c r="K71" s="79"/>
      <c r="L71" s="79"/>
      <c r="M71" s="79"/>
      <c r="N71" s="79"/>
      <c r="O71" s="79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 spans="1:26" x14ac:dyDescent="0.25">
      <c r="A72" s="85" t="s">
        <v>68</v>
      </c>
      <c r="B72" s="85"/>
      <c r="C72" s="84"/>
      <c r="D72" s="84" t="s">
        <v>69</v>
      </c>
      <c r="E72" s="84"/>
      <c r="F72" s="84"/>
      <c r="G72" s="84" t="s">
        <v>70</v>
      </c>
      <c r="H72" s="84"/>
      <c r="I72" s="84"/>
      <c r="J72" s="3"/>
      <c r="K72" s="79"/>
      <c r="L72" s="79"/>
      <c r="M72" s="79"/>
      <c r="N72" s="79"/>
      <c r="O72" s="79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 spans="1:26" x14ac:dyDescent="0.25">
      <c r="A73" s="84"/>
      <c r="B73" s="84"/>
      <c r="C73" s="84"/>
      <c r="D73" s="84"/>
      <c r="E73" s="84"/>
      <c r="F73" s="84"/>
      <c r="G73" s="84"/>
      <c r="H73" s="84"/>
      <c r="I73" s="84"/>
      <c r="J73" s="3"/>
      <c r="K73" s="79"/>
      <c r="L73" s="79"/>
      <c r="M73" s="79"/>
      <c r="N73" s="79"/>
      <c r="O73" s="79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 spans="1:26" x14ac:dyDescent="0.25">
      <c r="A74" s="84"/>
      <c r="B74" s="84"/>
      <c r="C74" s="84"/>
      <c r="D74" s="84"/>
      <c r="E74" s="84"/>
      <c r="F74" s="84"/>
      <c r="G74" s="84"/>
      <c r="H74" s="84"/>
      <c r="I74" s="84"/>
      <c r="J74" s="3"/>
      <c r="K74" s="79"/>
      <c r="L74" s="79"/>
      <c r="M74" s="79"/>
      <c r="N74" s="79"/>
      <c r="O74" s="79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 spans="1:26" x14ac:dyDescent="0.25">
      <c r="A75" s="84"/>
      <c r="B75" s="84"/>
      <c r="C75" s="84"/>
      <c r="D75" s="84"/>
      <c r="E75" s="84"/>
      <c r="F75" s="84"/>
      <c r="G75" s="84"/>
      <c r="H75" s="84"/>
      <c r="I75" s="84"/>
      <c r="J75" s="3"/>
      <c r="K75" s="79"/>
      <c r="L75" s="79"/>
      <c r="M75" s="79"/>
      <c r="N75" s="79"/>
      <c r="O75" s="79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 spans="1:26" x14ac:dyDescent="0.25">
      <c r="A76" s="84"/>
      <c r="B76" s="84"/>
      <c r="C76" s="84"/>
      <c r="D76" s="84"/>
      <c r="E76" s="84"/>
      <c r="F76" s="84"/>
      <c r="G76" s="84"/>
      <c r="H76" s="84"/>
      <c r="I76" s="84"/>
      <c r="J76" s="3"/>
      <c r="K76" s="79"/>
      <c r="L76" s="79"/>
      <c r="M76" s="79"/>
      <c r="N76" s="79"/>
      <c r="O76" s="79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 spans="1:26" x14ac:dyDescent="0.25">
      <c r="A77" s="84"/>
      <c r="B77" s="84"/>
      <c r="C77" s="84"/>
      <c r="D77" s="84"/>
      <c r="E77" s="84"/>
      <c r="F77" s="84"/>
      <c r="G77" s="84"/>
      <c r="H77" s="84"/>
      <c r="I77" s="84"/>
      <c r="J77" s="3"/>
      <c r="K77" s="79"/>
      <c r="L77" s="79"/>
      <c r="M77" s="79"/>
      <c r="N77" s="79"/>
      <c r="O77" s="79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 spans="1:26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79"/>
      <c r="L78" s="79"/>
      <c r="M78" s="79"/>
      <c r="N78" s="79"/>
      <c r="O78" s="79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 spans="1:26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 spans="1:26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 spans="1:26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 spans="1:26" x14ac:dyDescent="0.25">
      <c r="A82" s="3"/>
      <c r="B82" s="3"/>
      <c r="C82" s="3"/>
      <c r="D82" s="3"/>
      <c r="E82" s="3"/>
      <c r="F82" s="86"/>
      <c r="G82" s="3"/>
      <c r="H82" s="3"/>
      <c r="I82" s="86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 spans="1:26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 spans="1:26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 spans="1:26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 spans="1:26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 spans="1:26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 spans="1:26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 spans="1:26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 spans="1:26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 spans="1:26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 spans="1:26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 spans="1:26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 spans="1:26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 spans="1:26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 spans="1:26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 spans="1:26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 spans="1:26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 spans="1:26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 spans="1:26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 spans="1:26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 spans="1:26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 spans="1:26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 spans="1:26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 spans="1:26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 spans="1:26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 spans="1:26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 spans="1:26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 spans="1:26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 spans="1:26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 spans="1:26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 spans="1:26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 spans="1:26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 spans="1:26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 spans="1:26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 spans="1:26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 spans="1:26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 spans="1:26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 spans="1:26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 spans="1:26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 spans="1:26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 spans="1:26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 spans="1:26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 spans="1:26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 spans="1:26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 spans="1:26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 spans="1:26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 spans="1:26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 spans="1:26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 spans="1:26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 spans="1:26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 spans="1:26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 spans="1:26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 spans="1:26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 spans="1:26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 spans="1:26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 spans="1:26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 spans="1:26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 spans="1:26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 spans="1:26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 spans="1:26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 spans="1:26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 spans="1:26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 spans="1:26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 spans="1:26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 spans="1:26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 spans="1:26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 spans="1:26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 spans="1:26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 spans="1:26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 spans="1:26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 spans="1:26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 spans="1:26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 spans="1:26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 spans="1:26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 spans="1:26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 spans="1:26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 spans="1:26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 spans="1:26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 spans="1:26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 spans="1:26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 spans="1:26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 spans="1:26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 spans="1:26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 spans="1:26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 spans="1:26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 spans="1:26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 spans="1:26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 spans="1:26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 spans="1:26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 spans="1:26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 spans="1:26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 spans="1:26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 spans="1:26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 spans="1:26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 spans="1:26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 spans="1:26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 spans="1:26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 spans="1:26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 spans="1:26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 spans="1:26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 spans="1:26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 spans="1:26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 spans="1:26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 spans="1:26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 spans="1:26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 spans="1:26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 spans="1:26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 spans="1:26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 spans="1:26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 spans="1:26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 spans="1:26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 spans="1:26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 spans="1:26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 spans="1:26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 spans="1:26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 spans="1:26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 spans="1:26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 spans="1:26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 spans="1:26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 spans="1:26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 spans="1:26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 spans="1:26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 spans="1:26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 spans="1:26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 spans="1:26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 spans="1:26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 spans="1:26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 spans="1:26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 spans="1:26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 spans="1:26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 spans="1:26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 spans="1:26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 spans="1:26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 spans="1:26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 spans="1:26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 spans="1:26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 spans="1:26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 spans="1:26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 spans="1:26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 spans="1:26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 spans="1:26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 spans="1:26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 spans="1:26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 spans="1:26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 spans="1:26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 spans="1:26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 spans="1:26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 spans="1:26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 spans="1:26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 spans="1:26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 spans="1:26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 spans="1:26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 spans="1:26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 spans="1:26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 spans="1:26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 spans="1:26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 spans="1:26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 spans="1:26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 spans="1:26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 spans="1:26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 spans="1:26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 spans="1:26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 spans="1:26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 spans="1:26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 spans="1:26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 spans="1:26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 spans="1:26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 spans="1:26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 spans="1:26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 spans="1:26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 spans="1:26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 spans="1:26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 spans="1:26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 spans="1:26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 spans="1:26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 spans="1:26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 spans="1:26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 spans="1:26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 spans="1:26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 spans="1:26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 spans="1:26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 spans="1:26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 spans="1:26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 spans="1:26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 spans="1:26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 spans="1:26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 spans="1:26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 spans="1:26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 spans="1:26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 spans="1:26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 spans="1:26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I1"/>
    <mergeCell ref="A34:B34"/>
    <mergeCell ref="A38:B38"/>
  </mergeCells>
  <pageMargins left="0.7" right="0.7" top="0.75" bottom="0.75" header="0" footer="0"/>
  <pageSetup paperSize="9" orientation="portrait" horizontalDpi="4294967295" verticalDpi="4294967295" scale="55" fitToWidth="1" fitToHeight="1" firstPageNumber="1" useFirstPageNumber="1" copies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zoomScale="100" zoomScaleNormal="100"/>
  </sheetViews>
  <sheetFormatPr defaultRowHeight="15" outlineLevelRow="0" outlineLevelCol="0" x14ac:dyDescent="0" defaultColWidth="14.43"/>
  <cols>
    <col min="1" max="1" width="18.14" customWidth="1"/>
    <col min="2" max="2" width="16.43" customWidth="1"/>
    <col min="3" max="3" width="16.86" customWidth="1"/>
    <col min="4" max="4" width="18.43" customWidth="1"/>
    <col min="5" max="5" width="19" customWidth="1"/>
    <col min="6" max="6" width="8.43" customWidth="1"/>
    <col min="7" max="9" width="20.71" customWidth="1"/>
    <col min="10" max="10" width="7.43" customWidth="1"/>
    <col min="11" max="11" width="11.43" customWidth="1"/>
    <col min="12" max="12" width="14.86" customWidth="1"/>
    <col min="13" max="13" width="11.86" customWidth="1"/>
    <col min="14" max="15" width="10.43" customWidth="1"/>
    <col min="16" max="26" width="11.43" customWidth="1"/>
  </cols>
  <sheetData>
    <row r="1" ht="29.25" customHeight="1" spans="1:26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4"/>
      <c r="B2" s="5"/>
      <c r="C2" s="5"/>
      <c r="D2" s="5"/>
      <c r="E2" s="5"/>
      <c r="F2" s="5"/>
      <c r="G2" s="5"/>
      <c r="H2" s="6" t="s">
        <v>1</v>
      </c>
      <c r="I2" s="7">
        <v>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8" t="s">
        <v>2</v>
      </c>
      <c r="B3" s="8"/>
      <c r="C3" s="8"/>
      <c r="D3" s="9" t="s">
        <v>71</v>
      </c>
      <c r="E3" s="3"/>
      <c r="F3" s="10"/>
      <c r="G3" s="10"/>
      <c r="H3" s="10" t="s">
        <v>4</v>
      </c>
      <c r="I3" s="11">
        <v>187997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8" t="s">
        <v>7</v>
      </c>
      <c r="B5" s="8"/>
      <c r="C5" s="8"/>
      <c r="D5" s="8"/>
      <c r="E5" s="12">
        <v>42317</v>
      </c>
      <c r="F5" s="8"/>
      <c r="G5" s="8"/>
      <c r="H5" s="8"/>
      <c r="I5" s="8"/>
      <c r="J5" s="3"/>
      <c r="K5" s="3"/>
      <c r="L5" s="3" t="s">
        <v>9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8"/>
      <c r="B6" s="8"/>
      <c r="C6" s="8"/>
      <c r="D6" s="8"/>
      <c r="E6" s="13"/>
      <c r="F6" s="8"/>
      <c r="G6" s="8"/>
      <c r="H6" s="8"/>
      <c r="I6" s="8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8" t="s">
        <v>10</v>
      </c>
      <c r="B7" s="8"/>
      <c r="C7" s="8"/>
      <c r="D7" s="8"/>
      <c r="E7" s="12">
        <v>42990</v>
      </c>
      <c r="F7" s="8"/>
      <c r="G7" s="8"/>
      <c r="H7" s="8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8"/>
      <c r="B8" s="8"/>
      <c r="C8" s="8"/>
      <c r="D8" s="8"/>
      <c r="E8" s="8"/>
      <c r="F8" s="8">
        <f>D9*360</f>
        <v>360</v>
      </c>
      <c r="G8" s="14">
        <f>C17-F8</f>
        <v>304</v>
      </c>
      <c r="H8" s="8"/>
      <c r="I8" s="8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8" t="s">
        <v>12</v>
      </c>
      <c r="B9" s="8"/>
      <c r="C9" s="8"/>
      <c r="D9" s="15">
        <f>ROUND(C17/360-0.49,0)</f>
        <v>1</v>
      </c>
      <c r="E9" s="16" t="s">
        <v>13</v>
      </c>
      <c r="F9" s="16">
        <f>ROUND(G8/30-0.49,0)</f>
        <v>10</v>
      </c>
      <c r="G9" s="16" t="s">
        <v>72</v>
      </c>
      <c r="H9" s="17">
        <f>C17-F8-F9*30</f>
        <v>4</v>
      </c>
      <c r="I9" s="18" t="s">
        <v>14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8"/>
      <c r="B10" s="8"/>
      <c r="C10" s="6"/>
      <c r="D10" s="19"/>
      <c r="E10" s="20" t="s">
        <v>15</v>
      </c>
      <c r="F10" s="21"/>
      <c r="G10" s="22" t="s">
        <v>16</v>
      </c>
      <c r="H10" s="23" t="s">
        <v>17</v>
      </c>
      <c r="I10" s="24" t="s">
        <v>18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8" t="s">
        <v>19</v>
      </c>
      <c r="B11" s="8"/>
      <c r="C11" s="8"/>
      <c r="D11" s="25" t="s">
        <v>20</v>
      </c>
      <c r="E11" s="26">
        <v>18200</v>
      </c>
      <c r="F11" s="27"/>
      <c r="G11" s="28">
        <f>+D64</f>
        <v>18200</v>
      </c>
      <c r="H11" s="29">
        <f>D64*1.16666666666667</f>
        <v>21233.33333</v>
      </c>
      <c r="I11" s="30">
        <f>E13</f>
        <v>23099.99667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8"/>
      <c r="B12" s="8"/>
      <c r="C12" s="6" t="s">
        <v>21</v>
      </c>
      <c r="D12" s="31"/>
      <c r="E12" s="32" t="s">
        <v>22</v>
      </c>
      <c r="F12" s="27"/>
      <c r="G12" s="33" t="s">
        <v>23</v>
      </c>
      <c r="H12" s="34" t="s">
        <v>23</v>
      </c>
      <c r="I12" s="35" t="s">
        <v>24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8" t="s">
        <v>25</v>
      </c>
      <c r="B13" s="8"/>
      <c r="C13" s="8"/>
      <c r="D13" s="25" t="s">
        <v>20</v>
      </c>
      <c r="E13" s="36">
        <f>ROUND(D64*1.16666666666667,2)+H64</f>
        <v>23099.99667</v>
      </c>
      <c r="F13" s="37"/>
      <c r="G13" s="38">
        <f t="shared" ref="G13:H13" si="0">G11/30</f>
        <v>606.6666667</v>
      </c>
      <c r="H13" s="39">
        <f t="shared" si="0"/>
        <v>707.7777778</v>
      </c>
      <c r="I13" s="40">
        <f>+I11/30</f>
        <v>769.9998889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41" t="s">
        <v>26</v>
      </c>
      <c r="B14" s="42"/>
      <c r="C14" s="42"/>
      <c r="D14" s="42"/>
      <c r="E14" s="43"/>
      <c r="F14" s="43"/>
      <c r="G14" s="43"/>
      <c r="H14" s="43"/>
      <c r="I14" s="4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8"/>
      <c r="B15" s="8"/>
      <c r="C15" s="8"/>
      <c r="D15" s="8"/>
      <c r="E15" s="44"/>
      <c r="F15" s="44"/>
      <c r="G15" s="44"/>
      <c r="H15" s="44"/>
      <c r="I15" s="4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8" t="s">
        <v>27</v>
      </c>
      <c r="B16" s="8"/>
      <c r="C16" s="8"/>
      <c r="D16" s="45">
        <f>IF(C17&lt;90,1,IF(C17&lt;180,7,IF(C17&lt;360,14,IF(C17&lt;720,30,IF(C17&gt;=720,60)))))</f>
        <v>30</v>
      </c>
      <c r="E16" s="46" t="s">
        <v>28</v>
      </c>
      <c r="F16" s="46" t="s">
        <v>29</v>
      </c>
      <c r="G16" s="44">
        <f>+I13</f>
        <v>769.9998889</v>
      </c>
      <c r="H16" s="44"/>
      <c r="I16" s="44">
        <f>G16*D16</f>
        <v>23099.99667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8"/>
      <c r="B17" s="8"/>
      <c r="C17" s="47">
        <f>DAYS360(E5,E7)+1</f>
        <v>664</v>
      </c>
      <c r="D17" s="48" t="s">
        <v>30</v>
      </c>
      <c r="E17" s="46"/>
      <c r="F17" s="44"/>
      <c r="G17" s="44"/>
      <c r="H17" s="44"/>
      <c r="I17" s="4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8" t="s">
        <v>31</v>
      </c>
      <c r="B18" s="8"/>
      <c r="C18" s="8"/>
      <c r="D18" s="49">
        <f>IF(C17&lt;90,0,IF(C17&lt;180,10,IF(C17&lt;360,20,IF(C17&lt;5400,ROUND(C17*30/360,2),IF(C17&gt;=5400,450)))))</f>
        <v>55.33</v>
      </c>
      <c r="E18" s="46" t="s">
        <v>28</v>
      </c>
      <c r="F18" s="46" t="s">
        <v>29</v>
      </c>
      <c r="G18" s="44">
        <f>+I13</f>
        <v>769.9998889</v>
      </c>
      <c r="H18" s="44"/>
      <c r="I18" s="44">
        <f>G18*D18</f>
        <v>42604.09385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14"/>
      <c r="B19" s="8"/>
      <c r="C19" s="8"/>
      <c r="D19" s="8"/>
      <c r="E19" s="46"/>
      <c r="F19" s="44"/>
      <c r="G19" s="44"/>
      <c r="H19" s="44"/>
      <c r="I19" s="44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8" t="s">
        <v>32</v>
      </c>
      <c r="B20" s="8"/>
      <c r="C20" s="49"/>
      <c r="D20" s="50">
        <f>+C20</f>
      </c>
      <c r="E20" s="46" t="s">
        <v>28</v>
      </c>
      <c r="F20" s="46" t="s">
        <v>29</v>
      </c>
      <c r="G20" s="44">
        <f>+H13</f>
        <v>707.7777778</v>
      </c>
      <c r="H20" s="44"/>
      <c r="I20" s="44">
        <f>+G20*D20</f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 spans="1:26" x14ac:dyDescent="0.25">
      <c r="A21" s="8"/>
      <c r="B21" s="8"/>
      <c r="C21" s="8"/>
      <c r="D21" s="51"/>
      <c r="E21" s="46"/>
      <c r="F21" s="46"/>
      <c r="G21" s="44"/>
      <c r="H21" s="44"/>
      <c r="I21" s="44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 spans="1:26" x14ac:dyDescent="0.25">
      <c r="A22" s="52" t="s">
        <v>33</v>
      </c>
      <c r="B22" s="52"/>
      <c r="C22" s="52"/>
      <c r="D22" s="51">
        <f>ROUND(C23*A24/360,2)</f>
        <v>18.44</v>
      </c>
      <c r="E22" s="46" t="s">
        <v>28</v>
      </c>
      <c r="F22" s="46" t="s">
        <v>29</v>
      </c>
      <c r="G22" s="44">
        <f>+H13</f>
        <v>707.7777778</v>
      </c>
      <c r="H22" s="44"/>
      <c r="I22" s="44">
        <f>D22*G22</f>
        <v>13051.42222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 spans="1:26" x14ac:dyDescent="0.25">
      <c r="A23" s="53">
        <v>42317</v>
      </c>
      <c r="B23" s="54">
        <f>E7</f>
        <v>42990</v>
      </c>
      <c r="C23" s="55">
        <f>DAYS360(A23,B23)+1</f>
        <v>664</v>
      </c>
      <c r="D23" s="3"/>
      <c r="E23" s="46"/>
      <c r="F23" s="46"/>
      <c r="G23" s="44"/>
      <c r="H23" s="44"/>
      <c r="I23" s="44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 spans="1:26" x14ac:dyDescent="0.25">
      <c r="A24" s="56">
        <v>10</v>
      </c>
      <c r="B24" s="57"/>
      <c r="C24" s="52"/>
      <c r="D24" s="8"/>
      <c r="E24" s="46"/>
      <c r="F24" s="46"/>
      <c r="G24" s="44"/>
      <c r="H24" s="44"/>
      <c r="I24" s="44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 spans="1:26" x14ac:dyDescent="0.25">
      <c r="A25" s="8" t="s">
        <v>73</v>
      </c>
      <c r="B25" s="8"/>
      <c r="C25" s="8"/>
      <c r="D25" s="50">
        <f>ROUND(C26*30/360,2)</f>
        <v>21</v>
      </c>
      <c r="E25" s="46" t="s">
        <v>28</v>
      </c>
      <c r="F25" s="46" t="s">
        <v>29</v>
      </c>
      <c r="G25" s="44">
        <f>+G13</f>
        <v>606.6666667</v>
      </c>
      <c r="H25" s="44"/>
      <c r="I25" s="44">
        <f>G25*D25</f>
        <v>12740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 spans="1:26" x14ac:dyDescent="0.25">
      <c r="A26" s="12">
        <v>42736</v>
      </c>
      <c r="B26" s="12">
        <f>+E7</f>
        <v>42990</v>
      </c>
      <c r="C26" s="58">
        <f>DAYS360(A26,B26)+1</f>
        <v>252</v>
      </c>
      <c r="D26" s="51"/>
      <c r="E26" s="46"/>
      <c r="F26" s="46"/>
      <c r="G26" s="44"/>
      <c r="H26" s="44"/>
      <c r="I26" s="44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 spans="1:26" x14ac:dyDescent="0.25">
      <c r="A27" s="59"/>
      <c r="B27" s="8"/>
      <c r="C27" s="8"/>
      <c r="D27" s="8"/>
      <c r="E27" s="46"/>
      <c r="F27" s="46"/>
      <c r="G27" s="44"/>
      <c r="H27" s="44"/>
      <c r="I27" s="44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 spans="1:26" x14ac:dyDescent="0.25">
      <c r="A28" s="8" t="s">
        <v>74</v>
      </c>
      <c r="B28" s="8"/>
      <c r="C28" s="8"/>
      <c r="D28" s="50">
        <f>ROUND(C29*30/360,2)</f>
        <v>6</v>
      </c>
      <c r="E28" s="46" t="s">
        <v>28</v>
      </c>
      <c r="F28" s="46" t="s">
        <v>29</v>
      </c>
      <c r="G28" s="44">
        <f>+G13</f>
        <v>606.6666667</v>
      </c>
      <c r="H28" s="44"/>
      <c r="I28" s="44">
        <f>G28*D28</f>
        <v>3640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 spans="1:26" x14ac:dyDescent="0.25">
      <c r="A29" s="12">
        <v>42917</v>
      </c>
      <c r="B29" s="60">
        <f>+E7</f>
        <v>42990</v>
      </c>
      <c r="C29" s="58">
        <f>DAYS360(A29,B29)+1</f>
        <v>72</v>
      </c>
      <c r="D29" s="51"/>
      <c r="E29" s="46"/>
      <c r="F29" s="46"/>
      <c r="G29" s="44"/>
      <c r="H29" s="44"/>
      <c r="I29" s="44"/>
      <c r="J29" s="3"/>
      <c r="K29" s="3"/>
      <c r="L29" s="3" t="s">
        <v>36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 spans="1:26" x14ac:dyDescent="0.25">
      <c r="A30" s="61" t="s">
        <v>23</v>
      </c>
      <c r="B30" s="61"/>
      <c r="C30" s="61"/>
      <c r="D30" s="61"/>
      <c r="E30" s="62"/>
      <c r="F30" s="62"/>
      <c r="G30" s="62"/>
      <c r="H30" s="62"/>
      <c r="I30" s="62">
        <f>SUM(I16:I28)</f>
        <v>95135.51274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 spans="1:26" x14ac:dyDescent="0.25">
      <c r="A31" s="8"/>
      <c r="B31" s="8"/>
      <c r="C31" s="8"/>
      <c r="D31" s="8"/>
      <c r="E31" s="44"/>
      <c r="F31" s="44"/>
      <c r="G31" s="44"/>
      <c r="H31" s="44"/>
      <c r="I31" s="44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 spans="1:26" x14ac:dyDescent="0.25">
      <c r="A32" s="8" t="s">
        <v>37</v>
      </c>
      <c r="B32" s="8"/>
      <c r="C32" s="8"/>
      <c r="D32" s="3"/>
      <c r="E32" s="63"/>
      <c r="F32" s="44"/>
      <c r="G32" s="44"/>
      <c r="H32" s="64" t="s">
        <v>20</v>
      </c>
      <c r="I32" s="44">
        <f>SUM(I16:I28)</f>
        <v>95135.51274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 spans="1:26" x14ac:dyDescent="0.25">
      <c r="A33" s="8"/>
      <c r="B33" s="8"/>
      <c r="C33" s="8"/>
      <c r="D33" s="3"/>
      <c r="E33" s="63"/>
      <c r="F33" s="44"/>
      <c r="G33" s="44"/>
      <c r="H33" s="64"/>
      <c r="I33" s="44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 spans="1:26" x14ac:dyDescent="0.25">
      <c r="A34" s="65" t="s">
        <v>38</v>
      </c>
      <c r="B34" s="2"/>
      <c r="C34" s="8"/>
      <c r="D34" s="3"/>
      <c r="E34" s="63"/>
      <c r="F34" s="44"/>
      <c r="G34" s="44"/>
      <c r="H34" s="64"/>
      <c r="I34" s="44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 spans="1:26" x14ac:dyDescent="0.25">
      <c r="A35" s="8"/>
      <c r="B35" s="8" t="s">
        <v>39</v>
      </c>
      <c r="C35" s="8"/>
      <c r="D35" s="3"/>
      <c r="E35" s="63"/>
      <c r="F35" s="46"/>
      <c r="G35" s="44"/>
      <c r="H35" s="64"/>
      <c r="I35" s="64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 spans="1:26" x14ac:dyDescent="0.25">
      <c r="A36" s="8"/>
      <c r="B36" s="3"/>
      <c r="C36" s="8"/>
      <c r="D36" s="3"/>
      <c r="E36" s="63"/>
      <c r="F36" s="46"/>
      <c r="G36" s="44"/>
      <c r="H36" s="64"/>
      <c r="I36" s="64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 spans="1:26" x14ac:dyDescent="0.25">
      <c r="A37" s="8"/>
      <c r="B37" s="3"/>
      <c r="C37" s="8"/>
      <c r="D37" s="3"/>
      <c r="E37" s="63"/>
      <c r="F37" s="46"/>
      <c r="G37" s="44"/>
      <c r="H37" s="64"/>
      <c r="I37" s="66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 spans="1:26" x14ac:dyDescent="0.25">
      <c r="A38" s="65" t="s">
        <v>40</v>
      </c>
      <c r="B38" s="2"/>
      <c r="C38" s="8"/>
      <c r="D38" s="3"/>
      <c r="E38" s="63"/>
      <c r="F38" s="44"/>
      <c r="G38" s="44"/>
      <c r="H38" s="64"/>
      <c r="I38" s="44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 spans="1:26" x14ac:dyDescent="0.25">
      <c r="A39" s="65"/>
      <c r="B39" s="8" t="s">
        <v>41</v>
      </c>
      <c r="C39" s="8"/>
      <c r="D39" s="3"/>
      <c r="E39" s="63"/>
      <c r="F39" s="44"/>
      <c r="G39" s="44"/>
      <c r="H39" s="64"/>
      <c r="I39" s="44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 spans="1:26" x14ac:dyDescent="0.25">
      <c r="A40" s="3"/>
      <c r="B40" s="8" t="s">
        <v>42</v>
      </c>
      <c r="C40" s="3"/>
      <c r="D40" s="3"/>
      <c r="E40" s="63"/>
      <c r="F40" s="44"/>
      <c r="G40" s="44"/>
      <c r="H40" s="64"/>
      <c r="I40" s="67">
        <v>-11574.96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 spans="1:26" x14ac:dyDescent="0.25">
      <c r="A41" s="3"/>
      <c r="B41" s="8" t="s">
        <v>43</v>
      </c>
      <c r="C41" s="8"/>
      <c r="D41" s="3"/>
      <c r="E41" s="63"/>
      <c r="F41" s="44"/>
      <c r="G41" s="44"/>
      <c r="H41" s="64"/>
      <c r="I41" s="67">
        <v>-424.64</v>
      </c>
      <c r="J41" s="3"/>
      <c r="K41" s="3"/>
      <c r="L41" s="4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 spans="1:26" x14ac:dyDescent="0.25">
      <c r="A42" s="3"/>
      <c r="B42" s="8" t="s">
        <v>44</v>
      </c>
      <c r="C42" s="8"/>
      <c r="D42" s="3"/>
      <c r="E42" s="63"/>
      <c r="F42" s="44"/>
      <c r="G42" s="44"/>
      <c r="H42" s="64"/>
      <c r="I42" s="67">
        <f>0</f>
        <v>0</v>
      </c>
      <c r="J42" s="3"/>
      <c r="K42" s="3"/>
      <c r="L42" s="44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 spans="1:26" x14ac:dyDescent="0.25">
      <c r="A43" s="3"/>
      <c r="B43" s="8" t="s">
        <v>45</v>
      </c>
      <c r="C43" s="8"/>
      <c r="D43" s="3"/>
      <c r="E43" s="63"/>
      <c r="F43" s="44"/>
      <c r="G43" s="44"/>
      <c r="H43" s="64"/>
      <c r="I43" s="67">
        <v>-227.88</v>
      </c>
      <c r="J43" s="3"/>
      <c r="K43" s="3"/>
      <c r="L43" s="44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 spans="1:26" x14ac:dyDescent="0.25">
      <c r="A44" s="3"/>
      <c r="B44" s="8" t="s">
        <v>46</v>
      </c>
      <c r="C44" s="8"/>
      <c r="D44" s="3"/>
      <c r="E44" s="63"/>
      <c r="F44" s="44"/>
      <c r="G44" s="44"/>
      <c r="H44" s="64"/>
      <c r="I44" s="67">
        <v>0</v>
      </c>
      <c r="J44" s="3"/>
      <c r="K44" s="3"/>
      <c r="L44" s="68">
        <f>113.87*2</f>
        <v>227.74</v>
      </c>
      <c r="M44" s="3" t="s">
        <v>47</v>
      </c>
      <c r="N44" s="3" t="s">
        <v>48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 spans="1:26" x14ac:dyDescent="0.25">
      <c r="A45" s="3"/>
      <c r="B45" s="8" t="s">
        <v>49</v>
      </c>
      <c r="C45" s="8"/>
      <c r="D45" s="3"/>
      <c r="E45" s="63"/>
      <c r="F45" s="44"/>
      <c r="G45" s="44"/>
      <c r="H45" s="64"/>
      <c r="I45" s="67">
        <v>0</v>
      </c>
      <c r="J45" s="3"/>
      <c r="K45" s="3"/>
      <c r="L45" s="44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 spans="1:26" x14ac:dyDescent="0.25">
      <c r="A46" s="3"/>
      <c r="B46" s="8"/>
      <c r="C46" s="8"/>
      <c r="E46" s="63"/>
      <c r="F46" s="44"/>
      <c r="G46" s="44"/>
      <c r="H46" s="64"/>
      <c r="I46" s="67"/>
      <c r="J46" s="3"/>
      <c r="K46" s="3"/>
      <c r="L46" s="44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 spans="1:26" x14ac:dyDescent="0.25">
      <c r="A47" s="65" t="s">
        <v>50</v>
      </c>
      <c r="B47" s="4"/>
      <c r="C47" s="4"/>
      <c r="D47" s="4"/>
      <c r="E47" s="69"/>
      <c r="F47" s="69"/>
      <c r="G47" s="69"/>
      <c r="H47" s="69"/>
      <c r="I47" s="46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 spans="1:26" x14ac:dyDescent="0.25">
      <c r="A48" s="3"/>
      <c r="B48" s="3"/>
      <c r="C48" s="3"/>
      <c r="D48" s="3"/>
      <c r="E48" s="63"/>
      <c r="F48" s="63"/>
      <c r="G48" s="63"/>
      <c r="H48" s="63"/>
      <c r="I48" s="6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 spans="1:26" x14ac:dyDescent="0.25">
      <c r="A49" s="10" t="s">
        <v>51</v>
      </c>
      <c r="B49" s="10"/>
      <c r="C49" s="13">
        <f>E7</f>
        <v>42990</v>
      </c>
      <c r="D49" s="3"/>
      <c r="E49" s="63"/>
      <c r="F49" s="44"/>
      <c r="G49" s="44"/>
      <c r="H49" s="64" t="s">
        <v>20</v>
      </c>
      <c r="I49" s="44">
        <f>SUM(I32:I48)</f>
        <v>82908.03274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 spans="1:26" x14ac:dyDescent="0.25">
      <c r="A50" s="10"/>
      <c r="B50" s="10"/>
      <c r="C50" s="13"/>
      <c r="D50" s="3"/>
      <c r="E50" s="63"/>
      <c r="F50" s="44"/>
      <c r="G50" s="44"/>
      <c r="H50" s="64"/>
      <c r="I50" s="44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 spans="1:26" x14ac:dyDescent="0.25">
      <c r="A51" s="8"/>
      <c r="B51" s="8"/>
      <c r="C51" s="8"/>
      <c r="D51" s="3"/>
      <c r="E51" s="63"/>
      <c r="F51" s="44"/>
      <c r="G51" s="44"/>
      <c r="H51" s="64"/>
      <c r="I51" s="44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 spans="1:26" x14ac:dyDescent="0.25">
      <c r="A52" s="70" t="s">
        <v>23</v>
      </c>
      <c r="B52" s="70"/>
      <c r="C52" s="70"/>
      <c r="D52" s="71"/>
      <c r="E52" s="72"/>
      <c r="F52" s="73"/>
      <c r="G52" s="73"/>
      <c r="H52" s="64" t="s">
        <v>20</v>
      </c>
      <c r="I52" s="73">
        <f>SUM(I49:I51)</f>
        <v>82908.03274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 spans="1:26" x14ac:dyDescent="0.25">
      <c r="A53" s="6"/>
      <c r="B53" s="8"/>
      <c r="C53" s="8"/>
      <c r="D53" s="6"/>
      <c r="E53" s="50"/>
      <c r="F53" s="8"/>
      <c r="G53" s="8"/>
      <c r="H53" s="8"/>
      <c r="I53" s="8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 spans="1:26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 spans="1:26" x14ac:dyDescent="0.25">
      <c r="A55" s="6"/>
      <c r="B55" s="8"/>
      <c r="C55" s="8"/>
      <c r="D55" s="6"/>
      <c r="E55" s="50"/>
      <c r="F55" s="8"/>
      <c r="G55" s="8"/>
      <c r="H55" s="3"/>
      <c r="I55" s="3"/>
      <c r="J55" s="3"/>
      <c r="K55" s="3"/>
      <c r="L55" s="74">
        <f>C64+G64</f>
        <v>120400</v>
      </c>
      <c r="M55" s="3"/>
      <c r="N55" s="3">
        <f>I35/15</f>
        <v>0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 spans="1:26" x14ac:dyDescent="0.25">
      <c r="A56" s="75" t="s">
        <v>52</v>
      </c>
      <c r="B56" s="3"/>
      <c r="C56" s="3"/>
      <c r="D56" s="3"/>
      <c r="E56" s="75" t="s">
        <v>53</v>
      </c>
      <c r="F56" s="3"/>
      <c r="G56" s="3"/>
      <c r="H56" s="3"/>
      <c r="I56" s="3"/>
      <c r="J56" s="3"/>
      <c r="K56" s="3"/>
      <c r="L56" s="63"/>
      <c r="M56" s="3"/>
      <c r="N56" s="3">
        <f>N55*2</f>
        <v>0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 spans="1:26" x14ac:dyDescent="0.25">
      <c r="A57" s="3" t="s">
        <v>54</v>
      </c>
      <c r="B57" s="3">
        <v>2017</v>
      </c>
      <c r="C57" s="3">
        <v>0</v>
      </c>
      <c r="D57" s="3"/>
      <c r="E57" s="3" t="s">
        <v>54</v>
      </c>
      <c r="F57" s="3">
        <v>2017</v>
      </c>
      <c r="G57" s="76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 spans="1:26" x14ac:dyDescent="0.25">
      <c r="A58" s="3" t="s">
        <v>55</v>
      </c>
      <c r="B58" s="3">
        <v>2017</v>
      </c>
      <c r="C58" s="3">
        <v>18200</v>
      </c>
      <c r="D58" s="3"/>
      <c r="E58" s="3" t="s">
        <v>55</v>
      </c>
      <c r="F58" s="3">
        <v>2017</v>
      </c>
      <c r="G58" s="76">
        <v>5500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 spans="1:26" x14ac:dyDescent="0.25">
      <c r="A59" s="3" t="s">
        <v>56</v>
      </c>
      <c r="B59" s="3">
        <v>2017</v>
      </c>
      <c r="C59" s="3">
        <v>18200</v>
      </c>
      <c r="D59" s="3"/>
      <c r="E59" s="3" t="s">
        <v>56</v>
      </c>
      <c r="F59" s="3">
        <v>2017</v>
      </c>
      <c r="G59" s="76">
        <v>0</v>
      </c>
      <c r="H59" s="3"/>
      <c r="I59" s="3"/>
      <c r="J59" s="77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 spans="1:26" x14ac:dyDescent="0.25">
      <c r="A60" s="3" t="s">
        <v>58</v>
      </c>
      <c r="B60" s="3">
        <v>2017</v>
      </c>
      <c r="C60" s="3">
        <v>18200</v>
      </c>
      <c r="D60" s="3"/>
      <c r="E60" s="3" t="s">
        <v>58</v>
      </c>
      <c r="F60" s="3">
        <v>2017</v>
      </c>
      <c r="G60" s="76">
        <v>0</v>
      </c>
      <c r="H60" s="3"/>
      <c r="I60" s="3"/>
      <c r="J60" s="77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 spans="1:26" x14ac:dyDescent="0.25">
      <c r="A61" s="3" t="s">
        <v>60</v>
      </c>
      <c r="B61" s="3">
        <v>2017</v>
      </c>
      <c r="C61" s="3">
        <v>18200</v>
      </c>
      <c r="D61" s="3"/>
      <c r="E61" s="3" t="s">
        <v>60</v>
      </c>
      <c r="F61" s="3">
        <v>2017</v>
      </c>
      <c r="G61" s="76">
        <v>5700</v>
      </c>
      <c r="H61" s="3"/>
      <c r="I61" s="3"/>
      <c r="J61" s="77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 spans="1:26" x14ac:dyDescent="0.25">
      <c r="A62" s="3" t="s">
        <v>62</v>
      </c>
      <c r="B62" s="3">
        <v>2017</v>
      </c>
      <c r="C62" s="3">
        <v>18200</v>
      </c>
      <c r="D62" s="3"/>
      <c r="E62" s="3" t="s">
        <v>62</v>
      </c>
      <c r="F62" s="3">
        <v>2017</v>
      </c>
      <c r="G62" s="76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 spans="1:26" x14ac:dyDescent="0.25">
      <c r="A63" s="3" t="s">
        <v>64</v>
      </c>
      <c r="B63" s="3">
        <v>2017</v>
      </c>
      <c r="C63" s="3">
        <v>18200</v>
      </c>
      <c r="D63" s="3"/>
      <c r="E63" s="3" t="s">
        <v>64</v>
      </c>
      <c r="F63" s="3">
        <v>2017</v>
      </c>
      <c r="G63" s="76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 spans="1:26" x14ac:dyDescent="0.25">
      <c r="A64" s="75" t="s">
        <v>66</v>
      </c>
      <c r="B64" s="75"/>
      <c r="C64" s="78">
        <f>SUM(C57:C63)</f>
        <v>109200</v>
      </c>
      <c r="D64" s="78">
        <f>(C64/6)*1</f>
        <v>18200</v>
      </c>
      <c r="E64" s="75" t="s">
        <v>66</v>
      </c>
      <c r="F64" s="75"/>
      <c r="G64" s="78">
        <f>SUM(G57:G63)</f>
        <v>11200</v>
      </c>
      <c r="H64" s="78">
        <f>(G64/180)*30</f>
        <v>1866.666667</v>
      </c>
      <c r="I64" s="3"/>
      <c r="J64" s="3"/>
      <c r="K64" s="79"/>
      <c r="L64" s="79"/>
      <c r="M64" s="79"/>
      <c r="N64" s="79"/>
      <c r="O64" s="79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 spans="1:26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79"/>
      <c r="L65" s="79"/>
      <c r="M65" s="79"/>
      <c r="N65" s="79"/>
      <c r="O65" s="79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 spans="1:26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79"/>
      <c r="L66" s="79"/>
      <c r="M66" s="79"/>
      <c r="N66" s="79"/>
      <c r="O66" s="79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 spans="1:26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79"/>
      <c r="L67" s="80">
        <f>+D64*1.16</f>
        <v>21112</v>
      </c>
      <c r="M67" s="80"/>
      <c r="N67" s="79"/>
      <c r="O67" s="79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 spans="1:26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79"/>
      <c r="L68" s="81">
        <f>+L67+H64</f>
        <v>22978.66667</v>
      </c>
      <c r="M68" s="80"/>
      <c r="N68" s="79"/>
      <c r="O68" s="79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 spans="1:26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79"/>
      <c r="L69" s="79"/>
      <c r="M69" s="79"/>
      <c r="N69" s="79"/>
      <c r="O69" s="79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 spans="1:26" x14ac:dyDescent="0.25">
      <c r="A70" s="82"/>
      <c r="B70" s="82"/>
      <c r="C70" s="82"/>
      <c r="D70" s="82"/>
      <c r="E70" s="82"/>
      <c r="F70" s="3"/>
      <c r="G70" s="3"/>
      <c r="H70" s="3"/>
      <c r="I70" s="3"/>
      <c r="J70" s="3"/>
      <c r="K70" s="79"/>
      <c r="L70" s="79"/>
      <c r="M70" s="79"/>
      <c r="N70" s="79"/>
      <c r="O70" s="79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 spans="1:26" x14ac:dyDescent="0.25">
      <c r="A71" s="83"/>
      <c r="B71" s="83"/>
      <c r="C71" s="21"/>
      <c r="D71" s="83"/>
      <c r="E71" s="83"/>
      <c r="F71" s="84"/>
      <c r="G71" s="83"/>
      <c r="H71" s="83"/>
      <c r="I71" s="84"/>
      <c r="J71" s="3"/>
      <c r="K71" s="79"/>
      <c r="L71" s="79"/>
      <c r="M71" s="79"/>
      <c r="N71" s="79"/>
      <c r="O71" s="79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 spans="1:26" x14ac:dyDescent="0.25">
      <c r="A72" s="85" t="s">
        <v>68</v>
      </c>
      <c r="B72" s="85"/>
      <c r="C72" s="84"/>
      <c r="D72" s="84" t="s">
        <v>69</v>
      </c>
      <c r="E72" s="84"/>
      <c r="F72" s="84"/>
      <c r="G72" s="84" t="s">
        <v>70</v>
      </c>
      <c r="H72" s="84"/>
      <c r="I72" s="84"/>
      <c r="J72" s="3"/>
      <c r="K72" s="79"/>
      <c r="L72" s="79"/>
      <c r="M72" s="79"/>
      <c r="N72" s="79"/>
      <c r="O72" s="79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 spans="1:26" x14ac:dyDescent="0.25">
      <c r="A73" s="84"/>
      <c r="B73" s="84"/>
      <c r="C73" s="84"/>
      <c r="D73" s="84"/>
      <c r="E73" s="84"/>
      <c r="F73" s="84"/>
      <c r="G73" s="84"/>
      <c r="H73" s="84"/>
      <c r="I73" s="84"/>
      <c r="J73" s="3"/>
      <c r="K73" s="79"/>
      <c r="L73" s="79"/>
      <c r="M73" s="79"/>
      <c r="N73" s="79"/>
      <c r="O73" s="79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 spans="1:26" x14ac:dyDescent="0.25">
      <c r="A74" s="84"/>
      <c r="B74" s="84"/>
      <c r="C74" s="84"/>
      <c r="D74" s="84"/>
      <c r="E74" s="84"/>
      <c r="F74" s="84"/>
      <c r="G74" s="84"/>
      <c r="H74" s="84"/>
      <c r="I74" s="84"/>
      <c r="J74" s="3"/>
      <c r="K74" s="79"/>
      <c r="L74" s="79"/>
      <c r="M74" s="79"/>
      <c r="N74" s="79"/>
      <c r="O74" s="79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 spans="1:26" x14ac:dyDescent="0.25">
      <c r="A75" s="84"/>
      <c r="B75" s="84"/>
      <c r="C75" s="84"/>
      <c r="D75" s="84"/>
      <c r="E75" s="84"/>
      <c r="F75" s="84"/>
      <c r="G75" s="84"/>
      <c r="H75" s="84"/>
      <c r="I75" s="84"/>
      <c r="J75" s="3"/>
      <c r="K75" s="79"/>
      <c r="L75" s="79"/>
      <c r="M75" s="79"/>
      <c r="N75" s="79"/>
      <c r="O75" s="79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 spans="1:26" x14ac:dyDescent="0.25">
      <c r="A76" s="84"/>
      <c r="B76" s="84"/>
      <c r="C76" s="84"/>
      <c r="D76" s="84"/>
      <c r="E76" s="84"/>
      <c r="F76" s="84"/>
      <c r="G76" s="84"/>
      <c r="H76" s="84"/>
      <c r="I76" s="84"/>
      <c r="J76" s="3"/>
      <c r="K76" s="79"/>
      <c r="L76" s="79"/>
      <c r="M76" s="79"/>
      <c r="N76" s="79"/>
      <c r="O76" s="79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 spans="1:26" x14ac:dyDescent="0.25">
      <c r="A77" s="84"/>
      <c r="B77" s="84"/>
      <c r="C77" s="84"/>
      <c r="D77" s="84"/>
      <c r="E77" s="84"/>
      <c r="F77" s="84"/>
      <c r="G77" s="84"/>
      <c r="H77" s="84"/>
      <c r="I77" s="84"/>
      <c r="J77" s="3"/>
      <c r="K77" s="79"/>
      <c r="L77" s="79"/>
      <c r="M77" s="79"/>
      <c r="N77" s="79"/>
      <c r="O77" s="79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 spans="1:26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79"/>
      <c r="L78" s="79"/>
      <c r="M78" s="79"/>
      <c r="N78" s="79"/>
      <c r="O78" s="79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 spans="1:26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 spans="1:26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 spans="1:26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 spans="1:26" x14ac:dyDescent="0.25">
      <c r="A82" s="3"/>
      <c r="B82" s="3"/>
      <c r="C82" s="3"/>
      <c r="D82" s="3"/>
      <c r="E82" s="3"/>
      <c r="F82" s="86"/>
      <c r="G82" s="3"/>
      <c r="H82" s="3"/>
      <c r="I82" s="86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 spans="1:26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 spans="1:26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 spans="1:26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 spans="1:26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 spans="1:26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 spans="1:26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 spans="1:26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 spans="1:26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 spans="1:26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 spans="1:26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 spans="1:26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 spans="1:26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 spans="1:26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 spans="1:26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 spans="1:26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 spans="1:26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 spans="1:26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 spans="1:26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 spans="1:26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 spans="1:26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 spans="1:26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 spans="1:26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 spans="1:26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 spans="1:26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 spans="1:26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 spans="1:26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 spans="1:26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 spans="1:26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 spans="1:26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 spans="1:26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 spans="1:26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 spans="1:26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 spans="1:26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 spans="1:26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 spans="1:26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 spans="1:26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 spans="1:26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 spans="1:26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 spans="1:26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 spans="1:26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 spans="1:26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 spans="1:26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 spans="1:26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 spans="1:26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 spans="1:26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 spans="1:26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 spans="1:26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 spans="1:26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 spans="1:26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 spans="1:26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 spans="1:26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 spans="1:26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 spans="1:26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 spans="1:26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 spans="1:26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 spans="1:26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 spans="1:26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 spans="1:26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 spans="1:26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 spans="1:26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 spans="1:26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 spans="1:26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 spans="1:26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 spans="1:26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 spans="1:26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 spans="1:26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 spans="1:26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 spans="1:26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 spans="1:26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 spans="1:26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 spans="1:26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 spans="1:26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 spans="1:26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 spans="1:26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 spans="1:26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 spans="1:26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 spans="1:26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 spans="1:26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 spans="1:26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 spans="1:26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 spans="1:26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 spans="1:26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 spans="1:26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 spans="1:26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 spans="1:26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 spans="1:26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 spans="1:26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 spans="1:26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 spans="1:26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 spans="1:26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 spans="1:26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 spans="1:26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 spans="1:26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 spans="1:26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 spans="1:26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 spans="1:26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 spans="1:26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 spans="1:26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 spans="1:26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 spans="1:26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 spans="1:26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 spans="1:26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 spans="1:26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 spans="1:26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 spans="1:26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 spans="1:26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 spans="1:26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 spans="1:26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 spans="1:26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 spans="1:26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 spans="1:26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 spans="1:26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 spans="1:26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 spans="1:26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 spans="1:26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 spans="1:26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 spans="1:26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 spans="1:26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 spans="1:26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 spans="1:26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 spans="1:26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 spans="1:26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 spans="1:26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 spans="1:26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 spans="1:26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 spans="1:26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 spans="1:26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 spans="1:26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 spans="1:26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 spans="1:26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 spans="1:26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 spans="1:26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 spans="1:26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 spans="1:26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 spans="1:26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 spans="1:26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 spans="1:26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 spans="1:26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 spans="1:26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 spans="1:26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 spans="1:26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 spans="1:26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 spans="1:26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 spans="1:26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 spans="1:26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 spans="1:26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 spans="1:26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 spans="1:26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 spans="1:26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 spans="1:26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 spans="1:26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 spans="1:26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 spans="1:26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 spans="1:26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 spans="1:26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 spans="1:26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 spans="1:26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 spans="1:26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 spans="1:26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 spans="1:26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 spans="1:26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 spans="1:26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 spans="1:26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 spans="1:26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 spans="1:26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 spans="1:26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 spans="1:26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 spans="1:26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 spans="1:26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 spans="1:26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 spans="1:26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 spans="1:26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 spans="1:26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 spans="1:26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 spans="1:26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 spans="1:26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 spans="1:26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 spans="1:26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 spans="1:26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 spans="1:26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 spans="1:26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 spans="1:26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 spans="1:26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 spans="1:26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 spans="1:26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 spans="1:26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 spans="1:26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 spans="1:26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 spans="1:26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 spans="1:26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I1"/>
    <mergeCell ref="A34:B34"/>
    <mergeCell ref="A38:B38"/>
  </mergeCells>
  <pageMargins left="0.7" right="0.7" top="0.75" bottom="0.75" header="0" footer="0"/>
  <pageSetup paperSize="9" orientation="portrait" horizontalDpi="4294967295" verticalDpi="4294967295" scale="55" fitToWidth="1" fitToHeight="1" firstPageNumber="1" useFirstPageNumber="1" copies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0"/>
  <sheetViews>
    <sheetView workbookViewId="0" showGridLines="0" zoomScale="100" zoomScaleNormal="100"/>
  </sheetViews>
  <sheetFormatPr defaultRowHeight="15" outlineLevelRow="0" outlineLevelCol="0" x14ac:dyDescent="0" defaultColWidth="14.43"/>
  <cols>
    <col min="1" max="1" width="20" customWidth="1"/>
    <col min="2" max="2" width="19.29" customWidth="1"/>
    <col min="3" max="3" width="14.43" customWidth="1"/>
    <col min="4" max="4" width="11.14" customWidth="1"/>
    <col min="5" max="5" width="14.71" customWidth="1"/>
    <col min="6" max="6" width="10.71" customWidth="1"/>
    <col min="7" max="7" width="14.71" customWidth="1"/>
    <col min="8" max="8" width="19.71" customWidth="1"/>
    <col min="9" max="9" width="16.71" customWidth="1"/>
    <col min="10" max="10" width="33.86" customWidth="1"/>
    <col min="11" max="11" width="12.86" customWidth="1"/>
    <col min="12" max="12" width="13.43" customWidth="1"/>
    <col min="13" max="24" width="10.71" customWidth="1"/>
  </cols>
  <sheetData>
    <row r="1" spans="1:14" x14ac:dyDescent="0.25">
      <c r="A1" s="87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</row>
    <row r="2" spans="1:14" x14ac:dyDescent="0.25">
      <c r="A2" s="4"/>
      <c r="B2" s="5"/>
      <c r="C2" s="5"/>
      <c r="D2" s="5"/>
      <c r="E2" s="5"/>
      <c r="F2" s="5"/>
      <c r="G2" s="5"/>
      <c r="H2" s="6"/>
      <c r="I2" s="7"/>
      <c r="J2" s="3"/>
      <c r="K2" s="3"/>
      <c r="L2" s="3"/>
      <c r="M2" s="3"/>
      <c r="N2" s="3"/>
    </row>
    <row r="3" spans="1:14" x14ac:dyDescent="0.25">
      <c r="A3" s="8" t="s">
        <v>2</v>
      </c>
      <c r="B3" s="8"/>
      <c r="C3" s="8"/>
      <c r="D3" s="9" t="s">
        <v>75</v>
      </c>
      <c r="E3" s="3"/>
      <c r="F3" s="10"/>
      <c r="G3" s="10"/>
      <c r="H3" s="10" t="s">
        <v>76</v>
      </c>
      <c r="I3" s="11"/>
      <c r="J3" s="3"/>
      <c r="K3" s="3"/>
      <c r="L3" s="3"/>
      <c r="M3" s="3"/>
      <c r="N3" s="3"/>
    </row>
    <row r="4" spans="1:14" x14ac:dyDescent="0.25">
      <c r="A4" s="8"/>
      <c r="B4" s="8"/>
      <c r="C4" s="8"/>
      <c r="D4" s="8"/>
      <c r="E4" s="8"/>
      <c r="F4" s="8"/>
      <c r="G4" s="8"/>
      <c r="H4" s="8" t="s">
        <v>77</v>
      </c>
      <c r="I4" s="88" t="s">
        <v>78</v>
      </c>
      <c r="J4" s="8"/>
      <c r="K4" s="3"/>
      <c r="L4" s="89"/>
      <c r="M4" s="3"/>
      <c r="N4" s="3"/>
    </row>
    <row r="5" spans="1:14" x14ac:dyDescent="0.25">
      <c r="A5" s="8" t="s">
        <v>7</v>
      </c>
      <c r="B5" s="8"/>
      <c r="C5" s="8"/>
      <c r="D5" s="8"/>
      <c r="E5" s="90">
        <v>45383</v>
      </c>
      <c r="F5" s="8"/>
      <c r="G5" s="8"/>
      <c r="H5" s="8"/>
      <c r="I5" s="8"/>
      <c r="J5" s="3"/>
      <c r="K5" s="3"/>
      <c r="L5" s="3"/>
      <c r="M5" s="3"/>
      <c r="N5" s="3"/>
    </row>
    <row r="6" spans="1:14" x14ac:dyDescent="0.25">
      <c r="A6" s="8"/>
      <c r="B6" s="8"/>
      <c r="C6" s="8"/>
      <c r="D6" s="8"/>
      <c r="E6" s="13"/>
      <c r="F6" s="8"/>
      <c r="G6" s="8"/>
      <c r="H6" s="8"/>
      <c r="I6" s="8"/>
      <c r="J6" s="3"/>
      <c r="K6" s="3"/>
      <c r="L6" s="3"/>
      <c r="M6" s="3"/>
      <c r="N6" s="3"/>
    </row>
    <row r="7" spans="1:14" x14ac:dyDescent="0.25">
      <c r="A7" s="8" t="s">
        <v>10</v>
      </c>
      <c r="B7" s="8"/>
      <c r="C7" s="8"/>
      <c r="D7" s="8"/>
      <c r="E7" s="90">
        <v>46027</v>
      </c>
      <c r="F7" s="8"/>
      <c r="G7" s="8"/>
      <c r="H7" s="8"/>
      <c r="I7" s="3"/>
      <c r="J7" s="3"/>
      <c r="K7" s="3"/>
      <c r="L7" s="3"/>
      <c r="M7" s="3"/>
      <c r="N7" s="3"/>
    </row>
    <row r="8" spans="1:14" x14ac:dyDescent="0.25">
      <c r="A8" s="8"/>
      <c r="B8" s="8"/>
      <c r="C8" s="8"/>
      <c r="D8" s="8"/>
      <c r="E8" s="8"/>
      <c r="F8" s="8">
        <f>D9*360</f>
        <v>360</v>
      </c>
      <c r="G8" s="14">
        <f>C17-F8</f>
        <v>274</v>
      </c>
      <c r="H8" s="8"/>
      <c r="I8" s="8"/>
      <c r="J8" s="3"/>
      <c r="K8" s="3"/>
      <c r="L8" s="3"/>
      <c r="M8" s="3"/>
      <c r="N8" s="3"/>
    </row>
    <row r="9" spans="1:14" x14ac:dyDescent="0.25">
      <c r="A9" s="8" t="s">
        <v>12</v>
      </c>
      <c r="B9" s="8"/>
      <c r="C9" s="8"/>
      <c r="D9" s="15">
        <f>ROUND(C17/360-0.49,0)</f>
        <v>1</v>
      </c>
      <c r="E9" s="16" t="s">
        <v>13</v>
      </c>
      <c r="F9" s="16">
        <f>ROUND(G8/30-0.49,0)</f>
        <v>9</v>
      </c>
      <c r="G9" s="16" t="s">
        <v>72</v>
      </c>
      <c r="H9" s="17">
        <f>C17-F8-F9*30</f>
        <v>4</v>
      </c>
      <c r="I9" s="18" t="s">
        <v>14</v>
      </c>
      <c r="J9" s="3"/>
      <c r="K9" s="3"/>
      <c r="L9" s="3"/>
      <c r="M9" s="3"/>
      <c r="N9" s="3"/>
    </row>
    <row r="10" spans="1:14" x14ac:dyDescent="0.25">
      <c r="A10" s="8"/>
      <c r="B10" s="8"/>
      <c r="C10" s="6"/>
      <c r="D10" s="19"/>
      <c r="E10" s="91" t="s">
        <v>15</v>
      </c>
      <c r="F10" s="21"/>
      <c r="G10" s="22" t="s">
        <v>16</v>
      </c>
      <c r="H10" s="23" t="s">
        <v>17</v>
      </c>
      <c r="I10" s="24" t="s">
        <v>18</v>
      </c>
      <c r="J10" s="3"/>
      <c r="K10" s="3"/>
      <c r="L10" s="3"/>
      <c r="M10" s="3"/>
      <c r="N10" s="3"/>
    </row>
    <row r="11" spans="1:14" x14ac:dyDescent="0.25">
      <c r="A11" s="8" t="s">
        <v>19</v>
      </c>
      <c r="B11" s="8"/>
      <c r="C11" s="8"/>
      <c r="D11" s="25" t="s">
        <v>20</v>
      </c>
      <c r="E11" s="92">
        <v>26400</v>
      </c>
      <c r="F11" s="27"/>
      <c r="G11" s="93">
        <f>+D60</f>
        <v>24800</v>
      </c>
      <c r="H11" s="94">
        <f>D60*1.16666666666667</f>
        <v>28933.33333</v>
      </c>
      <c r="I11" s="36">
        <f>E13</f>
        <v>28933.33</v>
      </c>
      <c r="J11" s="3"/>
      <c r="K11" s="3"/>
      <c r="L11" s="3"/>
      <c r="M11" s="3"/>
      <c r="N11" s="3"/>
    </row>
    <row r="12" spans="1:14" x14ac:dyDescent="0.25">
      <c r="A12" s="8"/>
      <c r="B12" s="8"/>
      <c r="C12" s="6" t="s">
        <v>21</v>
      </c>
      <c r="D12" s="31"/>
      <c r="E12" s="32" t="s">
        <v>22</v>
      </c>
      <c r="F12" s="27"/>
      <c r="G12" s="33" t="s">
        <v>23</v>
      </c>
      <c r="H12" s="34" t="s">
        <v>23</v>
      </c>
      <c r="I12" s="35" t="s">
        <v>24</v>
      </c>
      <c r="J12" s="3"/>
      <c r="K12" s="3"/>
      <c r="L12" s="3"/>
      <c r="M12" s="3"/>
      <c r="N12" s="3"/>
    </row>
    <row r="13" spans="1:14" x14ac:dyDescent="0.25">
      <c r="A13" s="8" t="s">
        <v>25</v>
      </c>
      <c r="B13" s="8"/>
      <c r="C13" s="8"/>
      <c r="D13" s="25" t="s">
        <v>20</v>
      </c>
      <c r="E13" s="36">
        <f>ROUND(D60*1.16666666666667,2)+H60</f>
        <v>28933.33</v>
      </c>
      <c r="F13" s="37"/>
      <c r="G13" s="38">
        <f t="shared" ref="G13:H13" si="0">G11/30</f>
        <v>826.6666667</v>
      </c>
      <c r="H13" s="39">
        <f t="shared" si="0"/>
        <v>964.4444444</v>
      </c>
      <c r="I13" s="40">
        <f>+I11/30</f>
        <v>964.4443333</v>
      </c>
      <c r="J13" s="3"/>
      <c r="K13" s="3"/>
      <c r="L13" s="3"/>
      <c r="M13" s="3"/>
      <c r="N13" s="3"/>
    </row>
    <row r="14" spans="1:14" x14ac:dyDescent="0.25">
      <c r="A14" s="41" t="s">
        <v>26</v>
      </c>
      <c r="B14" s="42"/>
      <c r="C14" s="42"/>
      <c r="D14" s="42"/>
      <c r="E14" s="43"/>
      <c r="F14" s="43"/>
      <c r="G14" s="43"/>
      <c r="H14" s="43"/>
      <c r="I14" s="43"/>
      <c r="J14" s="3"/>
      <c r="K14" s="3"/>
      <c r="L14" s="3"/>
      <c r="M14" s="3"/>
      <c r="N14" s="3"/>
    </row>
    <row r="15" spans="1:14" x14ac:dyDescent="0.25">
      <c r="A15" s="8"/>
      <c r="B15" s="8"/>
      <c r="C15" s="8"/>
      <c r="D15" s="8"/>
      <c r="E15" s="44"/>
      <c r="F15" s="44"/>
      <c r="G15" s="44"/>
      <c r="H15" s="44"/>
      <c r="I15" s="44"/>
      <c r="J15" s="3"/>
      <c r="K15" s="3"/>
      <c r="L15" s="3"/>
      <c r="M15" s="3"/>
      <c r="N15" s="3"/>
    </row>
    <row r="16" ht="46.5" customHeight="1" spans="1:14" x14ac:dyDescent="0.25">
      <c r="A16" s="8" t="s">
        <v>27</v>
      </c>
      <c r="B16" s="8"/>
      <c r="C16" s="8"/>
      <c r="D16" s="95">
        <f>ABS(E7 - TODAY())</f>
        <v>35</v>
      </c>
      <c r="E16" s="46" t="s">
        <v>28</v>
      </c>
      <c r="F16" s="46" t="s">
        <v>29</v>
      </c>
      <c r="G16" s="44">
        <f>+I13</f>
        <v>964.4443333</v>
      </c>
      <c r="H16" s="44"/>
      <c r="I16" s="44">
        <f>G16*D16</f>
        <v>33755.55167</v>
      </c>
      <c r="J16" s="96" t="s">
        <v>79</v>
      </c>
      <c r="K16" s="3"/>
      <c r="L16" s="3"/>
      <c r="M16" s="3"/>
      <c r="N16" s="3"/>
    </row>
    <row r="17" spans="1:14" x14ac:dyDescent="0.25">
      <c r="A17" s="8"/>
      <c r="B17" s="8"/>
      <c r="C17" s="47">
        <f>(YEAR(E7) - YEAR(E5)) * 360 + (MONTH(E7) - MONTH(E5)) * 30 + (DAY(E7) - DAY(E5))</f>
        <v>634</v>
      </c>
      <c r="D17" s="48" t="s">
        <v>30</v>
      </c>
      <c r="E17" s="46"/>
      <c r="F17" s="44"/>
      <c r="G17" s="44"/>
      <c r="H17" s="44"/>
      <c r="I17" s="44"/>
      <c r="J17" s="3"/>
      <c r="K17" s="3"/>
      <c r="L17" s="3"/>
      <c r="M17" s="3"/>
      <c r="N17" s="3"/>
    </row>
    <row r="18" spans="1:14" x14ac:dyDescent="0.25">
      <c r="A18" s="8" t="s">
        <v>31</v>
      </c>
      <c r="B18" s="8"/>
      <c r="C18" s="8"/>
      <c r="D18" s="97">
        <f>(F8*30)/360</f>
        <v>30</v>
      </c>
      <c r="E18" s="46" t="s">
        <v>28</v>
      </c>
      <c r="F18" s="46" t="s">
        <v>29</v>
      </c>
      <c r="G18" s="44">
        <f>+I13</f>
        <v>964.4443333</v>
      </c>
      <c r="H18" s="44"/>
      <c r="I18" s="44">
        <f t="shared" ref="I18:I19" si="1">G18*D18</f>
        <v>28933.33</v>
      </c>
      <c r="J18" s="3"/>
      <c r="K18" s="3"/>
      <c r="L18" s="3"/>
      <c r="M18" s="3"/>
      <c r="N18" s="3"/>
    </row>
    <row r="19" spans="1:14" x14ac:dyDescent="0.25">
      <c r="A19" s="8" t="s">
        <v>80</v>
      </c>
      <c r="B19" s="8"/>
      <c r="C19" s="8"/>
      <c r="D19" s="49">
        <f>(G8*30)/360</f>
        <v>22.83333333</v>
      </c>
      <c r="E19" s="46" t="s">
        <v>28</v>
      </c>
      <c r="F19" s="46" t="s">
        <v>29</v>
      </c>
      <c r="G19" s="44">
        <f>+I13</f>
        <v>964.4443333</v>
      </c>
      <c r="H19" s="44"/>
      <c r="I19" s="44">
        <f t="shared" si="1"/>
        <v>22021.47894</v>
      </c>
      <c r="J19" s="3"/>
      <c r="K19" s="3"/>
      <c r="L19" s="3"/>
      <c r="M19" s="3"/>
      <c r="N19" s="3"/>
    </row>
    <row r="20" spans="1:14" x14ac:dyDescent="0.25">
      <c r="A20" s="8"/>
      <c r="B20" s="8"/>
      <c r="C20" s="8"/>
      <c r="D20" s="50"/>
      <c r="E20" s="46"/>
      <c r="F20" s="44"/>
      <c r="G20" s="44"/>
      <c r="H20" s="44"/>
      <c r="I20" s="44"/>
      <c r="J20" s="3"/>
      <c r="K20" s="3"/>
      <c r="L20" s="3"/>
      <c r="M20" s="3"/>
      <c r="N20" s="3"/>
    </row>
    <row r="21" ht="15.75" customHeight="1" spans="1:14" x14ac:dyDescent="0.25">
      <c r="A21" s="14"/>
      <c r="B21" s="8"/>
      <c r="C21" s="8"/>
      <c r="D21" s="8"/>
      <c r="E21" s="46"/>
      <c r="F21" s="44"/>
      <c r="G21" s="44"/>
      <c r="H21" s="44"/>
      <c r="I21" s="44"/>
      <c r="J21" s="3"/>
      <c r="K21" s="3"/>
      <c r="L21" s="3"/>
      <c r="M21" s="3"/>
      <c r="N21" s="3"/>
    </row>
    <row r="22" ht="15.75" customHeight="1" spans="1:14" x14ac:dyDescent="0.25">
      <c r="A22" s="98" t="s">
        <v>32</v>
      </c>
      <c r="B22" s="8"/>
      <c r="C22" s="97">
        <v>7</v>
      </c>
      <c r="D22" s="50">
        <f>+C22</f>
        <v>7</v>
      </c>
      <c r="E22" s="46" t="s">
        <v>28</v>
      </c>
      <c r="F22" s="46" t="s">
        <v>29</v>
      </c>
      <c r="G22" s="44">
        <f>+H13</f>
        <v>964.4444444</v>
      </c>
      <c r="H22" s="44"/>
      <c r="I22" s="44">
        <f>+G22*D22</f>
        <v>6751.111111</v>
      </c>
      <c r="J22" s="3"/>
      <c r="K22" s="3"/>
      <c r="L22" s="3"/>
      <c r="M22" s="3"/>
      <c r="N22" s="3"/>
    </row>
    <row r="23" ht="15.75" customHeight="1" spans="1:14" x14ac:dyDescent="0.25">
      <c r="A23" s="8"/>
      <c r="B23" s="8"/>
      <c r="C23" s="8"/>
      <c r="D23" s="51"/>
      <c r="E23" s="46"/>
      <c r="F23" s="46"/>
      <c r="G23" s="44"/>
      <c r="H23" s="44"/>
      <c r="I23" s="44"/>
      <c r="J23" s="3"/>
      <c r="K23" s="3"/>
      <c r="L23" s="3"/>
      <c r="M23" s="3"/>
      <c r="N23" s="3"/>
    </row>
    <row r="24" ht="15.75" customHeight="1" spans="1:14" x14ac:dyDescent="0.25">
      <c r="A24" s="98" t="s">
        <v>33</v>
      </c>
      <c r="B24" s="99"/>
      <c r="C24" s="52"/>
      <c r="D24" s="51">
        <f>ROUND(C25*A26/360,2)</f>
        <v>11.46</v>
      </c>
      <c r="E24" s="46" t="s">
        <v>28</v>
      </c>
      <c r="F24" s="46" t="s">
        <v>29</v>
      </c>
      <c r="G24" s="44">
        <f>H13</f>
        <v>964.4444444</v>
      </c>
      <c r="H24" s="44"/>
      <c r="I24" s="44">
        <f>D24*G24</f>
        <v>11052.53333</v>
      </c>
      <c r="J24" s="3"/>
      <c r="K24" s="3"/>
      <c r="L24" s="3"/>
      <c r="M24" s="3"/>
      <c r="N24" s="3"/>
    </row>
    <row r="25" ht="15.75" customHeight="1" spans="1:14" x14ac:dyDescent="0.25">
      <c r="A25" s="100">
        <v>45748</v>
      </c>
      <c r="B25" s="54">
        <f>E7</f>
        <v>46027</v>
      </c>
      <c r="C25" s="55">
        <f>DAYS360(A25,B25)+1</f>
        <v>275</v>
      </c>
      <c r="D25" s="3"/>
      <c r="E25" s="46"/>
      <c r="F25" s="46"/>
      <c r="G25" s="44"/>
      <c r="H25" s="44"/>
      <c r="I25" s="44"/>
      <c r="J25" s="3"/>
      <c r="K25" s="3"/>
      <c r="L25" s="3"/>
      <c r="M25" s="3"/>
      <c r="N25" s="3"/>
    </row>
    <row r="26" ht="15.75" customHeight="1" spans="1:14" x14ac:dyDescent="0.25">
      <c r="A26" s="101">
        <v>15</v>
      </c>
      <c r="B26" s="57"/>
      <c r="C26" s="52"/>
      <c r="D26" s="8"/>
      <c r="E26" s="46"/>
      <c r="F26" s="46"/>
      <c r="G26" s="44"/>
      <c r="H26" s="44"/>
      <c r="I26" s="44"/>
      <c r="J26" s="3"/>
      <c r="K26" s="3"/>
      <c r="L26" s="3"/>
      <c r="M26" s="3"/>
      <c r="N26" s="3"/>
    </row>
    <row r="27" ht="15.75" customHeight="1" spans="1:14" x14ac:dyDescent="0.25">
      <c r="A27" s="98" t="s">
        <v>73</v>
      </c>
      <c r="B27" s="98"/>
      <c r="C27" s="8"/>
      <c r="D27" s="50">
        <f>ROUND(C28*30/360,2)</f>
        <v>30.42</v>
      </c>
      <c r="E27" s="46" t="s">
        <v>28</v>
      </c>
      <c r="F27" s="46" t="s">
        <v>29</v>
      </c>
      <c r="G27" s="44">
        <f>+G13</f>
        <v>826.6666667</v>
      </c>
      <c r="H27" s="44"/>
      <c r="I27" s="44">
        <f>G27*D27</f>
        <v>25147.2</v>
      </c>
      <c r="J27" s="3"/>
      <c r="K27" s="3"/>
      <c r="L27" s="3"/>
      <c r="M27" s="3"/>
      <c r="N27" s="3"/>
    </row>
    <row r="28" ht="15.75" customHeight="1" spans="1:14" x14ac:dyDescent="0.25">
      <c r="A28" s="100">
        <f>"01/01/" &amp; YEAR(TODAY())</f>
        <v>NaN</v>
      </c>
      <c r="B28" s="12">
        <f>+E7</f>
        <v>46027</v>
      </c>
      <c r="C28" s="58">
        <f>DAYS360(A28,B28)+1</f>
        <v>365</v>
      </c>
      <c r="D28" s="51"/>
      <c r="E28" s="46"/>
      <c r="F28" s="46"/>
      <c r="G28" s="44"/>
      <c r="H28" s="44"/>
      <c r="I28" s="44"/>
      <c r="J28" s="3"/>
      <c r="K28" s="3"/>
      <c r="L28" s="3"/>
      <c r="M28" s="3"/>
      <c r="N28" s="3"/>
    </row>
    <row r="29" ht="15.75" customHeight="1" spans="1:14" x14ac:dyDescent="0.25">
      <c r="A29" s="102"/>
      <c r="B29" s="8"/>
      <c r="C29" s="8"/>
      <c r="D29" s="8"/>
      <c r="E29" s="46"/>
      <c r="F29" s="46"/>
      <c r="G29" s="44"/>
      <c r="H29" s="44"/>
      <c r="I29" s="44"/>
      <c r="J29" s="3"/>
      <c r="K29" s="3"/>
      <c r="L29" s="3"/>
      <c r="M29" s="3"/>
      <c r="N29" s="3"/>
    </row>
    <row r="30" ht="15.75" customHeight="1" spans="1:14" x14ac:dyDescent="0.25">
      <c r="A30" s="98" t="s">
        <v>74</v>
      </c>
      <c r="B30" s="98"/>
      <c r="C30" s="8"/>
      <c r="D30" s="50">
        <f>ROUND(C31*30/360,2)</f>
        <v>15.42</v>
      </c>
      <c r="E30" s="46" t="s">
        <v>28</v>
      </c>
      <c r="F30" s="46" t="s">
        <v>29</v>
      </c>
      <c r="G30" s="44">
        <f>+G13</f>
        <v>826.6666667</v>
      </c>
      <c r="H30" s="44"/>
      <c r="I30" s="44">
        <f>G30*D30</f>
        <v>12747.2</v>
      </c>
      <c r="J30" s="3"/>
      <c r="K30" s="3"/>
      <c r="L30" s="3"/>
      <c r="M30" s="3"/>
      <c r="N30" s="3"/>
    </row>
    <row r="31" ht="15.75" customHeight="1" spans="1:14" x14ac:dyDescent="0.25">
      <c r="A31" s="100">
        <f>DATE(YEAR(TODAY()), 7, 1)</f>
        <v>45839</v>
      </c>
      <c r="B31" s="60">
        <f>+E7</f>
        <v>46027</v>
      </c>
      <c r="C31" s="58">
        <f>DAYS360(A31,B31)+1</f>
        <v>185</v>
      </c>
      <c r="D31" s="50"/>
      <c r="E31" s="46"/>
      <c r="F31" s="46"/>
      <c r="G31" s="44"/>
      <c r="H31" s="44"/>
      <c r="I31" s="44"/>
      <c r="J31" s="3"/>
      <c r="K31" s="3"/>
      <c r="L31" s="3"/>
      <c r="M31" s="3"/>
      <c r="N31" s="3"/>
    </row>
    <row r="32" ht="15.75" customHeight="1" spans="1:14" x14ac:dyDescent="0.25">
      <c r="A32" s="61" t="s">
        <v>23</v>
      </c>
      <c r="B32" s="61"/>
      <c r="C32" s="61"/>
      <c r="D32" s="61"/>
      <c r="E32" s="62"/>
      <c r="F32" s="62"/>
      <c r="G32" s="62"/>
      <c r="H32" s="62"/>
      <c r="I32" s="62">
        <f>SUM(I16:I30)</f>
        <v>140408.4051</v>
      </c>
      <c r="J32" s="3"/>
      <c r="K32" s="3"/>
      <c r="L32" s="3"/>
      <c r="M32" s="3"/>
      <c r="N32" s="3"/>
    </row>
    <row r="33" ht="15.75" customHeight="1" spans="1:14" x14ac:dyDescent="0.25">
      <c r="A33" s="8"/>
      <c r="B33" s="8"/>
      <c r="C33" s="8"/>
      <c r="D33" s="8"/>
      <c r="E33" s="44"/>
      <c r="F33" s="44"/>
      <c r="G33" s="44"/>
      <c r="H33" s="44"/>
      <c r="I33" s="44"/>
      <c r="J33" s="3"/>
      <c r="K33" s="3"/>
      <c r="L33" s="3"/>
      <c r="M33" s="3"/>
      <c r="N33" s="3"/>
    </row>
    <row r="34" ht="15.75" customHeight="1" spans="1:14" x14ac:dyDescent="0.25">
      <c r="A34" s="8" t="s">
        <v>37</v>
      </c>
      <c r="B34" s="8"/>
      <c r="C34" s="8"/>
      <c r="D34" s="3"/>
      <c r="E34" s="63"/>
      <c r="F34" s="44"/>
      <c r="G34" s="44"/>
      <c r="H34" s="64" t="s">
        <v>20</v>
      </c>
      <c r="I34" s="103">
        <f>SUM(I16:I30)</f>
        <v>140408.4051</v>
      </c>
      <c r="J34" s="3"/>
      <c r="K34" s="3"/>
      <c r="L34" s="3"/>
      <c r="M34" s="3"/>
      <c r="N34" s="3"/>
    </row>
    <row r="35" ht="15.75" customHeight="1" spans="1:14" x14ac:dyDescent="0.25">
      <c r="A35" s="8"/>
      <c r="B35" s="8"/>
      <c r="C35" s="8"/>
      <c r="D35" s="3"/>
      <c r="E35" s="63"/>
      <c r="F35" s="44"/>
      <c r="G35" s="44"/>
      <c r="H35" s="64"/>
      <c r="I35" s="44"/>
      <c r="J35" s="3"/>
      <c r="K35" s="3"/>
      <c r="L35" s="3"/>
      <c r="M35" s="3"/>
      <c r="N35" s="3"/>
    </row>
    <row r="36" ht="15.75" customHeight="1" spans="1:14" x14ac:dyDescent="0.25">
      <c r="A36" s="65" t="s">
        <v>38</v>
      </c>
      <c r="B36" s="2"/>
      <c r="C36" s="8"/>
      <c r="D36" s="3"/>
      <c r="E36" s="63"/>
      <c r="F36" s="44"/>
      <c r="G36" s="44"/>
      <c r="H36" s="64"/>
      <c r="I36" s="44"/>
      <c r="J36" s="3"/>
      <c r="K36" s="3"/>
      <c r="L36" s="3"/>
      <c r="M36" s="3"/>
      <c r="N36" s="3"/>
    </row>
    <row r="37" ht="15.75" customHeight="1" spans="1:14" x14ac:dyDescent="0.25">
      <c r="A37" s="8"/>
      <c r="B37" s="52" t="s">
        <v>81</v>
      </c>
      <c r="C37" s="8"/>
      <c r="D37" s="3"/>
      <c r="E37" s="63"/>
      <c r="F37" s="46"/>
      <c r="G37" s="44"/>
      <c r="H37" s="64"/>
      <c r="I37" s="64">
        <v>0</v>
      </c>
      <c r="J37" s="3"/>
      <c r="K37" s="3"/>
      <c r="L37" s="3"/>
      <c r="M37" s="3"/>
      <c r="N37" s="3"/>
    </row>
    <row r="38" ht="15.75" customHeight="1" spans="1:14" x14ac:dyDescent="0.25">
      <c r="A38" s="8"/>
      <c r="B38" s="3"/>
      <c r="C38" s="8"/>
      <c r="D38" s="3"/>
      <c r="E38" s="63"/>
      <c r="F38" s="46"/>
      <c r="G38" s="44"/>
      <c r="H38" s="64"/>
      <c r="I38" s="64"/>
      <c r="J38" s="3"/>
      <c r="K38" s="3"/>
      <c r="L38" s="3"/>
      <c r="M38" s="3"/>
      <c r="N38" s="3"/>
    </row>
    <row r="39" ht="15.75" customHeight="1" spans="1:14" x14ac:dyDescent="0.25">
      <c r="A39" s="8"/>
      <c r="B39" s="3"/>
      <c r="C39" s="8"/>
      <c r="D39" s="3"/>
      <c r="E39" s="63"/>
      <c r="F39" s="46"/>
      <c r="G39" s="44"/>
      <c r="H39" s="64"/>
      <c r="I39" s="66"/>
      <c r="J39" s="3"/>
      <c r="K39" s="3"/>
      <c r="L39" s="44"/>
      <c r="M39" s="3"/>
      <c r="N39" s="3"/>
    </row>
    <row r="40" ht="15.75" customHeight="1" spans="1:14" x14ac:dyDescent="0.25">
      <c r="A40" s="65" t="s">
        <v>40</v>
      </c>
      <c r="B40" s="2"/>
      <c r="C40" s="8"/>
      <c r="D40" s="3"/>
      <c r="E40" s="63"/>
      <c r="F40" s="44"/>
      <c r="G40" s="44"/>
      <c r="H40" s="64"/>
      <c r="I40" s="44"/>
      <c r="J40" s="3"/>
      <c r="K40" s="3"/>
      <c r="L40" s="44"/>
      <c r="M40" s="3"/>
      <c r="N40" s="3"/>
    </row>
    <row r="41" ht="15.75" customHeight="1" spans="1:14" x14ac:dyDescent="0.25">
      <c r="A41" s="3"/>
      <c r="B41" s="8" t="s">
        <v>82</v>
      </c>
      <c r="C41" s="8"/>
      <c r="D41" s="3"/>
      <c r="E41" s="63"/>
      <c r="F41" s="44"/>
      <c r="G41" s="44"/>
      <c r="H41" s="64"/>
      <c r="I41" s="67">
        <v>0</v>
      </c>
      <c r="J41" s="3"/>
      <c r="K41" s="3"/>
      <c r="L41" s="44"/>
      <c r="M41" s="104"/>
      <c r="N41" s="104"/>
    </row>
    <row r="42" ht="171" customHeight="1" spans="1:24" x14ac:dyDescent="0.25">
      <c r="A42" s="3"/>
      <c r="B42" s="8" t="s">
        <v>83</v>
      </c>
      <c r="C42" s="8"/>
      <c r="D42" s="3"/>
      <c r="E42" s="63"/>
      <c r="F42" s="44"/>
      <c r="G42" s="44"/>
      <c r="H42" s="64"/>
      <c r="I42" s="105">
        <f>H11</f>
        <v>28933.33333</v>
      </c>
      <c r="J42" s="96" t="s">
        <v>84</v>
      </c>
      <c r="K42" s="106"/>
      <c r="L42" s="107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</row>
    <row r="43" ht="15.75" customHeight="1" spans="1:24" x14ac:dyDescent="0.25">
      <c r="A43" s="3"/>
      <c r="B43" s="8"/>
      <c r="C43" s="8"/>
      <c r="E43" s="63"/>
      <c r="F43" s="44"/>
      <c r="G43" s="44"/>
      <c r="H43" s="64"/>
      <c r="I43" s="67"/>
      <c r="J43" s="3"/>
      <c r="K43" s="104"/>
      <c r="L43" s="108"/>
      <c r="M43" s="104"/>
      <c r="N43" s="104"/>
      <c r="O43" s="108"/>
      <c r="P43" s="108"/>
      <c r="Q43" s="108"/>
      <c r="R43" s="108"/>
      <c r="S43" s="108"/>
      <c r="T43" s="108"/>
      <c r="U43" s="108"/>
      <c r="V43" s="108"/>
      <c r="W43" s="108"/>
      <c r="X43" s="108"/>
    </row>
    <row r="44" ht="15.75" customHeight="1" spans="1:24" x14ac:dyDescent="0.25">
      <c r="A44" s="65" t="s">
        <v>50</v>
      </c>
      <c r="B44" s="4"/>
      <c r="C44" s="4"/>
      <c r="D44" s="4"/>
      <c r="E44" s="69"/>
      <c r="F44" s="69"/>
      <c r="G44" s="69"/>
      <c r="H44" s="69"/>
      <c r="I44" s="46"/>
      <c r="J44" s="3"/>
      <c r="K44" s="104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</row>
    <row r="45" ht="15.75" customHeight="1" spans="1:24" x14ac:dyDescent="0.25">
      <c r="A45" s="3"/>
      <c r="B45" s="3"/>
      <c r="C45" s="3"/>
      <c r="D45" s="3"/>
      <c r="E45" s="63"/>
      <c r="F45" s="63"/>
      <c r="G45" s="63"/>
      <c r="H45" s="63"/>
      <c r="I45" s="63"/>
      <c r="J45" s="3"/>
      <c r="K45" s="106"/>
      <c r="L45" s="110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</row>
    <row r="46" ht="15.75" customHeight="1" spans="1:24" x14ac:dyDescent="0.25">
      <c r="A46" s="10" t="s">
        <v>51</v>
      </c>
      <c r="B46" s="10"/>
      <c r="C46" s="13">
        <f>E7</f>
        <v>46027</v>
      </c>
      <c r="D46" s="3"/>
      <c r="E46" s="63"/>
      <c r="F46" s="44"/>
      <c r="G46" s="44"/>
      <c r="H46" s="64" t="s">
        <v>20</v>
      </c>
      <c r="I46" s="44">
        <f>I34+I37-I42-I41</f>
        <v>111475.0717</v>
      </c>
      <c r="J46" s="3"/>
      <c r="K46" s="108"/>
      <c r="L46" s="111"/>
      <c r="M46" s="104"/>
      <c r="N46" s="104"/>
      <c r="O46" s="108"/>
      <c r="P46" s="108"/>
      <c r="Q46" s="108"/>
      <c r="R46" s="108"/>
      <c r="S46" s="108"/>
      <c r="T46" s="108"/>
      <c r="U46" s="108"/>
      <c r="V46" s="108"/>
      <c r="W46" s="108"/>
      <c r="X46" s="108"/>
    </row>
    <row r="47" ht="15.75" customHeight="1" spans="1:24" x14ac:dyDescent="0.25">
      <c r="A47" s="10"/>
      <c r="B47" s="10"/>
      <c r="C47" s="13"/>
      <c r="D47" s="3"/>
      <c r="E47" s="63"/>
      <c r="F47" s="44"/>
      <c r="G47" s="44"/>
      <c r="H47" s="64"/>
      <c r="I47" s="44"/>
      <c r="J47" s="3"/>
      <c r="K47" s="112"/>
      <c r="L47" s="113"/>
      <c r="M47" s="109"/>
      <c r="N47" s="109"/>
      <c r="O47" s="109"/>
      <c r="P47" s="109"/>
      <c r="Q47" s="109"/>
      <c r="R47" s="109"/>
      <c r="S47" s="109"/>
      <c r="T47" s="108"/>
      <c r="U47" s="108"/>
      <c r="V47" s="108"/>
      <c r="W47" s="108"/>
      <c r="X47" s="108"/>
    </row>
    <row r="48" ht="15.75" customHeight="1" spans="1:24" x14ac:dyDescent="0.25">
      <c r="A48" s="8"/>
      <c r="B48" s="8"/>
      <c r="C48" s="8"/>
      <c r="D48" s="3"/>
      <c r="E48" s="63"/>
      <c r="F48" s="44"/>
      <c r="G48" s="44"/>
      <c r="H48" s="64"/>
      <c r="I48" s="44"/>
      <c r="J48" s="3"/>
      <c r="K48" s="106"/>
      <c r="L48" s="3"/>
      <c r="M48" s="106"/>
      <c r="N48" s="106"/>
      <c r="O48" s="106"/>
      <c r="P48" s="106"/>
      <c r="Q48" s="106"/>
      <c r="R48" s="106"/>
      <c r="S48" s="106"/>
      <c r="T48" s="108"/>
      <c r="U48" s="108"/>
      <c r="V48" s="108"/>
      <c r="W48" s="108"/>
      <c r="X48" s="108"/>
    </row>
    <row r="49" ht="15.75" customHeight="1" spans="1:24" x14ac:dyDescent="0.25">
      <c r="A49" s="70" t="s">
        <v>23</v>
      </c>
      <c r="B49" s="70"/>
      <c r="C49" s="70"/>
      <c r="D49" s="71"/>
      <c r="E49" s="72"/>
      <c r="F49" s="73"/>
      <c r="G49" s="73"/>
      <c r="H49" s="64" t="s">
        <v>20</v>
      </c>
      <c r="I49" s="114">
        <f>SUM(I46:I48)</f>
        <v>111475.0717</v>
      </c>
      <c r="J49" s="3"/>
      <c r="K49" s="115"/>
      <c r="L49" s="3"/>
      <c r="M49" s="3"/>
      <c r="N49" s="3"/>
      <c r="O49" s="108"/>
      <c r="P49" s="108"/>
      <c r="Q49" s="108"/>
      <c r="R49" s="108"/>
      <c r="S49" s="108"/>
      <c r="T49" s="108"/>
      <c r="U49" s="108"/>
      <c r="V49" s="108"/>
      <c r="W49" s="108"/>
      <c r="X49" s="108"/>
    </row>
    <row r="50" ht="15.75" customHeight="1" spans="1:24" x14ac:dyDescent="0.25">
      <c r="A50" s="6"/>
      <c r="B50" s="8"/>
      <c r="C50" s="8"/>
      <c r="D50" s="6"/>
      <c r="E50" s="50"/>
      <c r="F50" s="8"/>
      <c r="G50" s="8"/>
      <c r="H50" s="8"/>
      <c r="I50" s="8"/>
      <c r="J50" s="3"/>
      <c r="K50" s="104"/>
      <c r="L50" s="63"/>
      <c r="M50" s="3"/>
      <c r="N50" s="3"/>
      <c r="O50" s="108"/>
      <c r="P50" s="108"/>
      <c r="Q50" s="108"/>
      <c r="R50" s="108"/>
      <c r="S50" s="108"/>
      <c r="T50" s="108"/>
      <c r="U50" s="108"/>
      <c r="V50" s="108"/>
      <c r="W50" s="108"/>
      <c r="X50" s="108"/>
    </row>
    <row r="51" ht="15.75" customHeight="1" spans="1:14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ht="15.75" customHeight="1" spans="1:14" x14ac:dyDescent="0.25">
      <c r="A52" s="6"/>
      <c r="B52" s="8"/>
      <c r="C52" s="8"/>
      <c r="D52" s="6"/>
      <c r="E52" s="50"/>
      <c r="F52" s="8"/>
      <c r="G52" s="8"/>
      <c r="H52" s="3"/>
      <c r="I52" s="3"/>
      <c r="J52" s="3"/>
      <c r="K52" s="3"/>
      <c r="L52" s="3"/>
      <c r="M52" s="3"/>
      <c r="N52" s="3"/>
    </row>
    <row r="53" ht="15.75" customHeight="1" spans="1:14" x14ac:dyDescent="0.25">
      <c r="A53" s="75" t="s">
        <v>52</v>
      </c>
      <c r="B53" s="3"/>
      <c r="C53" s="3"/>
      <c r="D53" s="3"/>
      <c r="E53" s="75" t="s">
        <v>53</v>
      </c>
      <c r="F53" s="3"/>
      <c r="G53" s="3"/>
      <c r="H53" s="3"/>
      <c r="I53" s="3"/>
      <c r="J53" s="3"/>
      <c r="K53" s="3"/>
      <c r="L53" s="3"/>
      <c r="M53" s="3"/>
      <c r="N53" s="3"/>
    </row>
    <row r="54" ht="15.75" customHeight="1" spans="1:14" x14ac:dyDescent="0.25">
      <c r="A54" s="116" t="str">
        <f>TEXT(EDATE($E$7, -6), "mmmm")
</f>
        <v>julio</v>
      </c>
      <c r="B54" s="117">
        <f>YEAR(EDATE($E$7, -6))</f>
        <v>2025</v>
      </c>
      <c r="C54" s="118">
        <v>24000</v>
      </c>
      <c r="D54" s="3"/>
      <c r="E54" s="116" t="str">
        <f>TEXT(EDATE($E$7, -6), "mmmm")
</f>
        <v>julio</v>
      </c>
      <c r="F54" s="117">
        <f>YEAR(EDATE($E$7, -6))</f>
        <v>2025</v>
      </c>
      <c r="G54" s="76">
        <v>0</v>
      </c>
      <c r="H54" s="3"/>
      <c r="I54" s="3"/>
      <c r="J54" s="3"/>
      <c r="K54" s="3"/>
      <c r="L54" s="3"/>
      <c r="M54" s="3"/>
      <c r="N54" s="3"/>
    </row>
    <row r="55" ht="15.75" customHeight="1" spans="1:14" x14ac:dyDescent="0.25">
      <c r="A55" s="116" t="str">
        <f>TEXT(EDATE($E$7, -5), "mmmm")
</f>
        <v>agosto</v>
      </c>
      <c r="B55" s="117">
        <f>YEAR(EDATE($E$7, -5))</f>
        <v>2025</v>
      </c>
      <c r="C55" s="118">
        <v>24000</v>
      </c>
      <c r="D55" s="3"/>
      <c r="E55" s="116" t="str">
        <f>TEXT(EDATE($E$7, -5), "mmmm")
</f>
        <v>agosto</v>
      </c>
      <c r="F55" s="117">
        <f>YEAR(EDATE($E$7, -5))</f>
        <v>2025</v>
      </c>
      <c r="G55" s="76">
        <v>0</v>
      </c>
      <c r="H55" s="3"/>
      <c r="I55" s="3"/>
      <c r="J55" s="77"/>
      <c r="K55" s="3"/>
      <c r="L55" s="3"/>
      <c r="M55" s="3"/>
      <c r="N55" s="3"/>
    </row>
    <row r="56" ht="15.75" customHeight="1" spans="1:14" x14ac:dyDescent="0.25">
      <c r="A56" s="116" t="str">
        <f>TEXT(EDATE($E$7, -4), "mmmm")
</f>
        <v>septiembre</v>
      </c>
      <c r="B56" s="117">
        <f>YEAR(EDATE($E$7, -4))</f>
        <v>2025</v>
      </c>
      <c r="C56" s="118">
        <v>24000</v>
      </c>
      <c r="D56" s="3"/>
      <c r="E56" s="116" t="str">
        <f>TEXT(EDATE($E$7, -4), "mmmm")
</f>
        <v>septiembre</v>
      </c>
      <c r="F56" s="117">
        <f>YEAR(EDATE($E$7, -4))</f>
        <v>2025</v>
      </c>
      <c r="G56" s="76">
        <v>0</v>
      </c>
      <c r="H56" s="3"/>
      <c r="I56" s="3"/>
      <c r="J56" s="77"/>
      <c r="K56" s="3"/>
      <c r="L56" s="3"/>
      <c r="M56" s="3"/>
      <c r="N56" s="3"/>
    </row>
    <row r="57" ht="15.75" customHeight="1" spans="1:14" x14ac:dyDescent="0.25">
      <c r="A57" s="116" t="str">
        <f>TEXT(EDATE($E$7, -3), "mmmm")
</f>
        <v>octubre</v>
      </c>
      <c r="B57" s="117">
        <f>YEAR(EDATE($E$7, -3))</f>
        <v>2025</v>
      </c>
      <c r="C57" s="118">
        <v>24000</v>
      </c>
      <c r="D57" s="3"/>
      <c r="E57" s="116" t="str">
        <f>TEXT(EDATE($E$7, -3), "mmmm")
</f>
        <v>octubre</v>
      </c>
      <c r="F57" s="117">
        <f>YEAR(EDATE($E$7, -3))</f>
        <v>2025</v>
      </c>
      <c r="G57" s="76">
        <v>0</v>
      </c>
      <c r="H57" s="3"/>
      <c r="I57" s="3"/>
      <c r="J57" s="77"/>
      <c r="K57" s="3"/>
      <c r="L57" s="3"/>
      <c r="M57" s="3"/>
      <c r="N57" s="3"/>
    </row>
    <row r="58" ht="15.75" customHeight="1" spans="1:14" x14ac:dyDescent="0.25">
      <c r="A58" s="116" t="str">
        <f>TEXT(EDATE($E$7, -2), "mmmm")
</f>
        <v>noviembre</v>
      </c>
      <c r="B58" s="117">
        <f>YEAR(EDATE($E$7, -2))</f>
        <v>2025</v>
      </c>
      <c r="C58" s="118">
        <v>26400</v>
      </c>
      <c r="D58" s="3"/>
      <c r="E58" s="116" t="str">
        <f>TEXT(EDATE($E$7, -2), "mmmm")
</f>
        <v>noviembre</v>
      </c>
      <c r="F58" s="117">
        <f>YEAR(EDATE($E$7, -2))</f>
        <v>2025</v>
      </c>
      <c r="G58" s="76">
        <v>0</v>
      </c>
      <c r="H58" s="3"/>
      <c r="I58" s="3"/>
      <c r="J58" s="3"/>
      <c r="K58" s="3"/>
      <c r="L58" s="3"/>
      <c r="M58" s="3"/>
      <c r="N58" s="3"/>
    </row>
    <row r="59" ht="15.75" customHeight="1" spans="1:14" x14ac:dyDescent="0.25">
      <c r="A59" s="116" t="str">
        <f>TEXT(EDATE($E$7, -1), "mmmm")
</f>
        <v>diciembre</v>
      </c>
      <c r="B59" s="117">
        <f>YEAR(EDATE($E$7, -1))</f>
        <v>2025</v>
      </c>
      <c r="C59" s="118">
        <v>26400</v>
      </c>
      <c r="D59" s="3"/>
      <c r="E59" s="116" t="str">
        <f>TEXT(EDATE($E$7, -1), "mmmm")
</f>
        <v>diciembre</v>
      </c>
      <c r="F59" s="117">
        <f>YEAR(EDATE($E$7, -1))</f>
        <v>2025</v>
      </c>
      <c r="G59" s="76">
        <v>0</v>
      </c>
      <c r="H59" s="3"/>
      <c r="I59" s="3"/>
      <c r="J59" s="3"/>
      <c r="K59" s="3"/>
      <c r="L59" s="3"/>
      <c r="M59" s="3"/>
      <c r="N59" s="3"/>
    </row>
    <row r="60" ht="15.75" customHeight="1" spans="1:14" x14ac:dyDescent="0.25">
      <c r="A60" s="75" t="s">
        <v>66</v>
      </c>
      <c r="B60" s="75"/>
      <c r="C60" s="78">
        <f>SUM(C54:C59)</f>
        <v>148800</v>
      </c>
      <c r="D60" s="78">
        <f>(C60/180)*30</f>
        <v>24800</v>
      </c>
      <c r="E60" s="75" t="s">
        <v>66</v>
      </c>
      <c r="F60" s="75"/>
      <c r="G60" s="78">
        <f>SUM(G54:G59)</f>
        <v>0</v>
      </c>
      <c r="H60" s="78">
        <f>(G60/180)*30</f>
        <v>0</v>
      </c>
      <c r="I60" s="3"/>
      <c r="J60" s="3"/>
      <c r="K60" s="3"/>
      <c r="L60" s="3"/>
      <c r="M60" s="3"/>
      <c r="N60" s="3"/>
    </row>
    <row r="61" ht="15.75" customHeight="1" spans="1:14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ht="15.75" customHeight="1" spans="1:14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 ht="15.75" customHeight="1" spans="1:14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ht="15.75" customHeight="1" spans="1:14" x14ac:dyDescent="0.25">
      <c r="A64" s="82"/>
      <c r="B64" s="82"/>
      <c r="C64" s="82"/>
      <c r="D64" s="82"/>
      <c r="E64" s="82"/>
      <c r="F64" s="3"/>
      <c r="G64" s="3"/>
      <c r="H64" s="3"/>
      <c r="I64" s="3"/>
      <c r="J64" s="3"/>
      <c r="K64" s="3"/>
      <c r="L64" s="3"/>
      <c r="M64" s="3"/>
      <c r="N64" s="3"/>
    </row>
    <row r="65" ht="15.75" customHeight="1" spans="1:14" x14ac:dyDescent="0.25">
      <c r="A65" s="83"/>
      <c r="B65" s="83"/>
      <c r="C65" s="21"/>
      <c r="D65" s="83"/>
      <c r="E65" s="83"/>
      <c r="F65" s="84"/>
      <c r="G65" s="83"/>
      <c r="H65" s="83"/>
      <c r="I65" s="84"/>
      <c r="J65" s="3"/>
      <c r="K65" s="3"/>
      <c r="L65" s="3"/>
      <c r="M65" s="3"/>
      <c r="N65" s="3"/>
    </row>
    <row r="66" ht="15.75" customHeight="1" spans="1:14" x14ac:dyDescent="0.25">
      <c r="A66" s="85" t="s">
        <v>68</v>
      </c>
      <c r="B66" s="85"/>
      <c r="C66" s="84"/>
      <c r="D66" s="84" t="s">
        <v>69</v>
      </c>
      <c r="E66" s="84"/>
      <c r="F66" s="84"/>
      <c r="G66" s="84" t="s">
        <v>70</v>
      </c>
      <c r="H66" s="84"/>
      <c r="I66" s="84"/>
      <c r="J66" s="3"/>
      <c r="K66" s="3"/>
      <c r="L66" s="3"/>
      <c r="M66" s="3"/>
      <c r="N66" s="3"/>
    </row>
    <row r="67" ht="15.75" customHeight="1" spans="1:14" x14ac:dyDescent="0.25">
      <c r="A67" s="84"/>
      <c r="B67" s="84"/>
      <c r="C67" s="84"/>
      <c r="D67" s="84"/>
      <c r="E67" s="84"/>
      <c r="F67" s="84"/>
      <c r="G67" s="84"/>
      <c r="H67" s="84"/>
      <c r="I67" s="84"/>
      <c r="J67" s="3"/>
      <c r="K67" s="3"/>
      <c r="L67" s="3"/>
      <c r="M67" s="3"/>
      <c r="N67" s="3"/>
    </row>
    <row r="68" ht="15.75" customHeight="1" spans="1:11" x14ac:dyDescent="0.25">
      <c r="A68" s="84"/>
      <c r="B68" s="84"/>
      <c r="C68" s="84"/>
      <c r="D68" s="84"/>
      <c r="E68" s="84"/>
      <c r="F68" s="84"/>
      <c r="G68" s="84"/>
      <c r="H68" s="84"/>
      <c r="I68" s="84"/>
      <c r="J68" s="3"/>
      <c r="K68" s="3"/>
    </row>
    <row r="69" ht="15.75" customHeight="1" spans="1:11" x14ac:dyDescent="0.25">
      <c r="A69" s="84"/>
      <c r="B69" s="84"/>
      <c r="C69" s="84"/>
      <c r="D69" s="84"/>
      <c r="E69" s="84"/>
      <c r="F69" s="84"/>
      <c r="G69" s="84"/>
      <c r="H69" s="84"/>
      <c r="I69" s="84"/>
      <c r="J69" s="3"/>
      <c r="K69" s="3"/>
    </row>
    <row r="70" ht="15.75" customHeight="1" spans="1:11" x14ac:dyDescent="0.25">
      <c r="A70" s="84"/>
      <c r="B70" s="84"/>
      <c r="C70" s="84"/>
      <c r="D70" s="84"/>
      <c r="E70" s="84"/>
      <c r="F70" s="84"/>
      <c r="G70" s="84"/>
      <c r="H70" s="84"/>
      <c r="I70" s="84"/>
      <c r="J70" s="3"/>
      <c r="K70" s="3"/>
    </row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I1"/>
    <mergeCell ref="A36:B36"/>
    <mergeCell ref="A40:B40"/>
  </mergeCells>
  <pageMargins left="0.7" right="0.7" top="0.75" bottom="0.75" header="0" footer="0"/>
  <pageSetup paperSize="9" orientation="portrait" horizontalDpi="4294967295" verticalDpi="4294967295" scale="59" fitToWidth="1" fitToHeight="1" firstPageNumber="1" useFirstPageNumber="1" copies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0"/>
  <sheetViews>
    <sheetView workbookViewId="0" showGridLines="0" zoomScale="100" zoomScaleNormal="100"/>
  </sheetViews>
  <sheetFormatPr defaultRowHeight="15" outlineLevelRow="0" outlineLevelCol="0" x14ac:dyDescent="0" defaultColWidth="14.43"/>
  <cols>
    <col min="1" max="1" width="20" customWidth="1"/>
    <col min="2" max="2" width="19.29" customWidth="1"/>
    <col min="3" max="3" width="14.43" customWidth="1"/>
    <col min="4" max="4" width="10.71" customWidth="1"/>
    <col min="5" max="5" width="14.71" customWidth="1"/>
    <col min="6" max="6" width="10.71" customWidth="1"/>
    <col min="7" max="7" width="14.71" customWidth="1"/>
    <col min="8" max="8" width="19.71" customWidth="1"/>
    <col min="9" max="9" width="16.71" customWidth="1"/>
    <col min="10" max="14" width="10.71" customWidth="1"/>
  </cols>
  <sheetData>
    <row r="1" spans="1:14" x14ac:dyDescent="0.25">
      <c r="A1" s="87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</row>
    <row r="2" spans="1:14" x14ac:dyDescent="0.25">
      <c r="A2" s="4"/>
      <c r="B2" s="5"/>
      <c r="C2" s="5"/>
      <c r="D2" s="5"/>
      <c r="E2" s="5"/>
      <c r="F2" s="5"/>
      <c r="G2" s="5"/>
      <c r="H2" s="6" t="s">
        <v>1</v>
      </c>
      <c r="I2" s="7">
        <v>1</v>
      </c>
      <c r="J2" s="3"/>
      <c r="K2" s="3"/>
      <c r="L2" s="3"/>
      <c r="M2" s="3"/>
      <c r="N2" s="3"/>
    </row>
    <row r="3" spans="1:14" x14ac:dyDescent="0.25">
      <c r="A3" s="8" t="s">
        <v>2</v>
      </c>
      <c r="B3" s="8"/>
      <c r="C3" s="8"/>
      <c r="D3" s="9" t="s">
        <v>85</v>
      </c>
      <c r="E3" s="3"/>
      <c r="F3" s="10"/>
      <c r="G3" s="10"/>
      <c r="H3" s="10" t="s">
        <v>4</v>
      </c>
      <c r="I3" s="11">
        <v>153224</v>
      </c>
      <c r="J3" s="3"/>
      <c r="K3" s="3"/>
      <c r="L3" s="3"/>
      <c r="M3" s="3"/>
      <c r="N3" s="3"/>
    </row>
    <row r="4" spans="1:14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3"/>
      <c r="L4" s="89" t="s">
        <v>9</v>
      </c>
      <c r="M4" s="3"/>
      <c r="N4" s="3"/>
    </row>
    <row r="5" spans="1:14" x14ac:dyDescent="0.25">
      <c r="A5" s="8" t="s">
        <v>7</v>
      </c>
      <c r="B5" s="8"/>
      <c r="C5" s="8"/>
      <c r="D5" s="8"/>
      <c r="E5" s="12">
        <v>42317</v>
      </c>
      <c r="F5" s="8"/>
      <c r="G5" s="8"/>
      <c r="H5" s="8"/>
      <c r="I5" s="8"/>
      <c r="J5" s="3"/>
      <c r="K5" s="3"/>
      <c r="L5" s="3"/>
      <c r="M5" s="3"/>
      <c r="N5" s="3"/>
    </row>
    <row r="6" spans="1:14" x14ac:dyDescent="0.25">
      <c r="A6" s="8"/>
      <c r="B6" s="8"/>
      <c r="C6" s="8"/>
      <c r="D6" s="8"/>
      <c r="E6" s="13"/>
      <c r="F6" s="8"/>
      <c r="G6" s="8"/>
      <c r="H6" s="8"/>
      <c r="I6" s="8"/>
      <c r="J6" s="3"/>
      <c r="K6" s="3"/>
      <c r="L6" s="3"/>
      <c r="M6" s="3"/>
      <c r="N6" s="3"/>
    </row>
    <row r="7" spans="1:14" x14ac:dyDescent="0.25">
      <c r="A7" s="8" t="s">
        <v>10</v>
      </c>
      <c r="B7" s="8"/>
      <c r="C7" s="8"/>
      <c r="D7" s="8"/>
      <c r="E7" s="12">
        <v>43008</v>
      </c>
      <c r="F7" s="8"/>
      <c r="G7" s="8"/>
      <c r="H7" s="8"/>
      <c r="I7" s="3"/>
      <c r="J7" s="3"/>
      <c r="K7" s="3"/>
      <c r="L7" s="3"/>
      <c r="M7" s="3"/>
      <c r="N7" s="3"/>
    </row>
    <row r="8" spans="1:14" x14ac:dyDescent="0.25">
      <c r="A8" s="8"/>
      <c r="B8" s="8"/>
      <c r="C8" s="8"/>
      <c r="D8" s="8"/>
      <c r="E8" s="8"/>
      <c r="F8" s="8">
        <f>D9*360</f>
        <v>360</v>
      </c>
      <c r="G8" s="14">
        <f>C17-F8</f>
        <v>322</v>
      </c>
      <c r="H8" s="8"/>
      <c r="I8" s="8"/>
      <c r="J8" s="3"/>
      <c r="K8" s="3"/>
      <c r="L8" s="3"/>
      <c r="M8" s="3"/>
      <c r="N8" s="3"/>
    </row>
    <row r="9" spans="1:14" x14ac:dyDescent="0.25">
      <c r="A9" s="8" t="s">
        <v>12</v>
      </c>
      <c r="B9" s="8"/>
      <c r="C9" s="8"/>
      <c r="D9" s="15">
        <f>ROUND(C17/360-0.49,0)</f>
        <v>1</v>
      </c>
      <c r="E9" s="16" t="s">
        <v>13</v>
      </c>
      <c r="F9" s="16">
        <f>ROUND(G8/30-0.49,0)</f>
        <v>10</v>
      </c>
      <c r="G9" s="16" t="s">
        <v>72</v>
      </c>
      <c r="H9" s="17">
        <f>C17-F8-F9*30</f>
        <v>22</v>
      </c>
      <c r="I9" s="18" t="s">
        <v>14</v>
      </c>
      <c r="J9" s="3"/>
      <c r="K9" s="3"/>
      <c r="L9" s="3"/>
      <c r="M9" s="3"/>
      <c r="N9" s="3"/>
    </row>
    <row r="10" spans="1:14" x14ac:dyDescent="0.25">
      <c r="A10" s="8"/>
      <c r="B10" s="8"/>
      <c r="C10" s="6"/>
      <c r="D10" s="19"/>
      <c r="E10" s="91" t="s">
        <v>15</v>
      </c>
      <c r="F10" s="21"/>
      <c r="G10" s="22" t="s">
        <v>16</v>
      </c>
      <c r="H10" s="23" t="s">
        <v>17</v>
      </c>
      <c r="I10" s="24" t="s">
        <v>18</v>
      </c>
      <c r="J10" s="3"/>
      <c r="K10" s="3"/>
      <c r="L10" s="3"/>
      <c r="M10" s="3"/>
      <c r="N10" s="3"/>
    </row>
    <row r="11" spans="1:14" x14ac:dyDescent="0.25">
      <c r="A11" s="8" t="s">
        <v>19</v>
      </c>
      <c r="B11" s="8"/>
      <c r="C11" s="8"/>
      <c r="D11" s="25" t="s">
        <v>20</v>
      </c>
      <c r="E11" s="119">
        <v>9057.62</v>
      </c>
      <c r="F11" s="27"/>
      <c r="G11" s="28">
        <f>+D63</f>
        <v>9057.62</v>
      </c>
      <c r="H11" s="29">
        <f>D63*1.16666666666667</f>
        <v>10567.22333</v>
      </c>
      <c r="I11" s="40">
        <f>E13</f>
        <v>11070.42022</v>
      </c>
      <c r="J11" s="3"/>
      <c r="K11" s="3"/>
      <c r="L11" s="3"/>
      <c r="M11" s="3"/>
      <c r="N11" s="3"/>
    </row>
    <row r="12" spans="1:14" x14ac:dyDescent="0.25">
      <c r="A12" s="8"/>
      <c r="B12" s="8"/>
      <c r="C12" s="6" t="s">
        <v>21</v>
      </c>
      <c r="D12" s="31"/>
      <c r="E12" s="32" t="s">
        <v>22</v>
      </c>
      <c r="F12" s="27"/>
      <c r="G12" s="33" t="s">
        <v>23</v>
      </c>
      <c r="H12" s="34" t="s">
        <v>23</v>
      </c>
      <c r="I12" s="35" t="s">
        <v>24</v>
      </c>
      <c r="J12" s="3"/>
      <c r="K12" s="3"/>
      <c r="L12" s="3"/>
      <c r="M12" s="3"/>
      <c r="N12" s="3"/>
    </row>
    <row r="13" spans="1:14" x14ac:dyDescent="0.25">
      <c r="A13" s="8" t="s">
        <v>25</v>
      </c>
      <c r="B13" s="8"/>
      <c r="C13" s="8"/>
      <c r="D13" s="25" t="s">
        <v>20</v>
      </c>
      <c r="E13" s="36">
        <f>ROUND(D63*1.16666666666667,2)+H63</f>
        <v>11070.42022</v>
      </c>
      <c r="F13" s="37"/>
      <c r="G13" s="38">
        <f t="shared" ref="G13:H13" si="0">G11/30</f>
        <v>301.9206667</v>
      </c>
      <c r="H13" s="39">
        <f t="shared" si="0"/>
        <v>352.2407778</v>
      </c>
      <c r="I13" s="40">
        <f>+I11/30</f>
        <v>369.0140074</v>
      </c>
      <c r="J13" s="3"/>
      <c r="K13" s="3"/>
      <c r="L13" s="3"/>
      <c r="M13" s="3"/>
      <c r="N13" s="3"/>
    </row>
    <row r="14" spans="1:14" x14ac:dyDescent="0.25">
      <c r="A14" s="41" t="s">
        <v>26</v>
      </c>
      <c r="B14" s="42"/>
      <c r="C14" s="42"/>
      <c r="D14" s="42"/>
      <c r="E14" s="43"/>
      <c r="F14" s="43"/>
      <c r="G14" s="43"/>
      <c r="H14" s="43"/>
      <c r="I14" s="43"/>
      <c r="J14" s="3"/>
      <c r="K14" s="3"/>
      <c r="L14" s="3"/>
      <c r="M14" s="3"/>
      <c r="N14" s="3"/>
    </row>
    <row r="15" spans="1:14" x14ac:dyDescent="0.25">
      <c r="A15" s="8"/>
      <c r="B15" s="8"/>
      <c r="C15" s="8"/>
      <c r="D15" s="8"/>
      <c r="E15" s="44"/>
      <c r="F15" s="44"/>
      <c r="G15" s="44"/>
      <c r="H15" s="44"/>
      <c r="I15" s="44"/>
      <c r="J15" s="3"/>
      <c r="K15" s="3"/>
      <c r="L15" s="3"/>
      <c r="M15" s="3"/>
      <c r="N15" s="3"/>
    </row>
    <row r="16" spans="1:14" x14ac:dyDescent="0.25">
      <c r="A16" s="8" t="s">
        <v>27</v>
      </c>
      <c r="B16" s="8"/>
      <c r="C16" s="8"/>
      <c r="D16" s="45">
        <f>IF(C17&lt;90,1,IF(C17&lt;180,7,IF(C17&lt;360,14,IF(C17&lt;720,30,IF(C17&gt;=720,60)))))</f>
        <v>30</v>
      </c>
      <c r="E16" s="46" t="s">
        <v>28</v>
      </c>
      <c r="F16" s="46" t="s">
        <v>29</v>
      </c>
      <c r="G16" s="44">
        <f>+I13</f>
        <v>369.0140074</v>
      </c>
      <c r="H16" s="44"/>
      <c r="I16" s="44">
        <f>G16*D16</f>
        <v>11070.42022</v>
      </c>
      <c r="J16" s="3"/>
      <c r="K16" s="3"/>
      <c r="L16" s="3"/>
      <c r="M16" s="3"/>
      <c r="N16" s="3"/>
    </row>
    <row r="17" spans="1:14" x14ac:dyDescent="0.25">
      <c r="A17" s="8"/>
      <c r="B17" s="8"/>
      <c r="C17" s="47">
        <f>DAYS360(E5,E7)+1</f>
        <v>682</v>
      </c>
      <c r="D17" s="48" t="s">
        <v>30</v>
      </c>
      <c r="E17" s="46"/>
      <c r="F17" s="44"/>
      <c r="G17" s="44"/>
      <c r="H17" s="44"/>
      <c r="I17" s="44"/>
      <c r="J17" s="3"/>
      <c r="K17" s="3"/>
      <c r="L17" s="3"/>
      <c r="M17" s="3"/>
      <c r="N17" s="3"/>
    </row>
    <row r="18" spans="1:14" x14ac:dyDescent="0.25">
      <c r="A18" s="8" t="s">
        <v>31</v>
      </c>
      <c r="B18" s="8"/>
      <c r="C18" s="8"/>
      <c r="D18" s="49">
        <f>IF(C17&lt;90,0,IF(C17&lt;180,10,IF(C17&lt;360,20,IF(C17&lt;5400,ROUND(C17*30/360,2),IF(C17&gt;=5400,450)))))</f>
        <v>56.83</v>
      </c>
      <c r="E18" s="46" t="s">
        <v>28</v>
      </c>
      <c r="F18" s="46" t="s">
        <v>29</v>
      </c>
      <c r="G18" s="44">
        <f>+I13</f>
        <v>369.0140074</v>
      </c>
      <c r="H18" s="44"/>
      <c r="I18" s="44">
        <f>G18*D18</f>
        <v>20971.06604</v>
      </c>
      <c r="J18" s="3"/>
      <c r="K18" s="3"/>
      <c r="L18" s="3"/>
      <c r="M18" s="3"/>
      <c r="N18" s="3"/>
    </row>
    <row r="19" spans="1:14" x14ac:dyDescent="0.25">
      <c r="A19" s="14"/>
      <c r="B19" s="8"/>
      <c r="C19" s="8"/>
      <c r="D19" s="8"/>
      <c r="E19" s="46"/>
      <c r="F19" s="44"/>
      <c r="G19" s="44"/>
      <c r="H19" s="44"/>
      <c r="I19" s="44"/>
      <c r="J19" s="3"/>
      <c r="K19" s="3"/>
      <c r="L19" s="3"/>
      <c r="M19" s="3"/>
      <c r="N19" s="3"/>
    </row>
    <row r="20" spans="1:14" x14ac:dyDescent="0.25">
      <c r="A20" s="8" t="s">
        <v>32</v>
      </c>
      <c r="B20" s="8"/>
      <c r="C20" s="49">
        <v>0</v>
      </c>
      <c r="D20" s="50">
        <f>+C20</f>
        <v>0</v>
      </c>
      <c r="E20" s="46" t="s">
        <v>28</v>
      </c>
      <c r="F20" s="46" t="s">
        <v>29</v>
      </c>
      <c r="G20" s="44">
        <f>+H13</f>
        <v>352.2407778</v>
      </c>
      <c r="H20" s="44"/>
      <c r="I20" s="44">
        <f>+G20*D20</f>
        <v>0</v>
      </c>
      <c r="J20" s="3"/>
      <c r="K20" s="3"/>
      <c r="L20" s="3"/>
      <c r="M20" s="3"/>
      <c r="N20" s="3"/>
    </row>
    <row r="21" ht="15.75" customHeight="1" spans="1:14" x14ac:dyDescent="0.25">
      <c r="A21" s="8"/>
      <c r="B21" s="8"/>
      <c r="C21" s="8"/>
      <c r="D21" s="51"/>
      <c r="E21" s="46"/>
      <c r="F21" s="46"/>
      <c r="G21" s="44"/>
      <c r="H21" s="44"/>
      <c r="I21" s="44"/>
      <c r="J21" s="3"/>
      <c r="K21" s="3"/>
      <c r="L21" s="3"/>
      <c r="M21" s="3"/>
      <c r="N21" s="3"/>
    </row>
    <row r="22" ht="15.75" customHeight="1" spans="1:14" x14ac:dyDescent="0.25">
      <c r="A22" s="52" t="s">
        <v>33</v>
      </c>
      <c r="B22" s="52"/>
      <c r="C22" s="52"/>
      <c r="D22" s="51">
        <f>ROUND(C23*A24/360,2)</f>
        <v>8.94</v>
      </c>
      <c r="E22" s="46" t="s">
        <v>28</v>
      </c>
      <c r="F22" s="46" t="s">
        <v>29</v>
      </c>
      <c r="G22" s="44">
        <f>+H13</f>
        <v>352.2407778</v>
      </c>
      <c r="H22" s="44"/>
      <c r="I22" s="44">
        <f>D22*G22</f>
        <v>3149.032553</v>
      </c>
      <c r="J22" s="3"/>
      <c r="K22" s="3"/>
      <c r="L22" s="3"/>
      <c r="M22" s="3"/>
      <c r="N22" s="3"/>
    </row>
    <row r="23" ht="15.75" customHeight="1" spans="1:14" x14ac:dyDescent="0.25">
      <c r="A23" s="53">
        <v>42683</v>
      </c>
      <c r="B23" s="54">
        <f>E7</f>
        <v>43008</v>
      </c>
      <c r="C23" s="55">
        <f>DAYS360(A23,B23)+1</f>
        <v>322</v>
      </c>
      <c r="D23" s="3"/>
      <c r="E23" s="46"/>
      <c r="F23" s="46"/>
      <c r="G23" s="44"/>
      <c r="H23" s="44"/>
      <c r="I23" s="44"/>
      <c r="J23" s="3"/>
      <c r="K23" s="3"/>
      <c r="L23" s="3"/>
      <c r="M23" s="3"/>
      <c r="N23" s="3"/>
    </row>
    <row r="24" ht="15.75" customHeight="1" spans="1:14" x14ac:dyDescent="0.25">
      <c r="A24" s="56">
        <v>10</v>
      </c>
      <c r="B24" s="57"/>
      <c r="C24" s="52"/>
      <c r="D24" s="8"/>
      <c r="E24" s="46"/>
      <c r="F24" s="46"/>
      <c r="G24" s="44"/>
      <c r="H24" s="44"/>
      <c r="I24" s="44"/>
      <c r="J24" s="3"/>
      <c r="K24" s="3"/>
      <c r="L24" s="3"/>
      <c r="M24" s="3"/>
      <c r="N24" s="3"/>
    </row>
    <row r="25" ht="15.75" customHeight="1" spans="1:14" x14ac:dyDescent="0.25">
      <c r="A25" s="8" t="s">
        <v>73</v>
      </c>
      <c r="B25" s="8"/>
      <c r="C25" s="8"/>
      <c r="D25" s="50">
        <f>ROUND(C26*30/360,2)</f>
        <v>22.5</v>
      </c>
      <c r="E25" s="46" t="s">
        <v>28</v>
      </c>
      <c r="F25" s="46" t="s">
        <v>29</v>
      </c>
      <c r="G25" s="44">
        <f>+G13</f>
        <v>301.9206667</v>
      </c>
      <c r="H25" s="44"/>
      <c r="I25" s="44">
        <f>G25*D25</f>
        <v>6793.215</v>
      </c>
      <c r="J25" s="3"/>
      <c r="K25" s="3"/>
      <c r="L25" s="3"/>
      <c r="M25" s="3"/>
      <c r="N25" s="3"/>
    </row>
    <row r="26" ht="15.75" customHeight="1" spans="1:14" x14ac:dyDescent="0.25">
      <c r="A26" s="12">
        <v>42736</v>
      </c>
      <c r="B26" s="12">
        <f>+E7</f>
        <v>43008</v>
      </c>
      <c r="C26" s="58">
        <f>DAYS360(A26,B26)+1</f>
        <v>270</v>
      </c>
      <c r="D26" s="51"/>
      <c r="E26" s="46"/>
      <c r="F26" s="46"/>
      <c r="G26" s="44"/>
      <c r="H26" s="44"/>
      <c r="I26" s="44"/>
      <c r="J26" s="3"/>
      <c r="K26" s="3"/>
      <c r="L26" s="3"/>
      <c r="M26" s="3"/>
      <c r="N26" s="3"/>
    </row>
    <row r="27" ht="15.75" customHeight="1" spans="1:14" x14ac:dyDescent="0.25">
      <c r="A27" s="59"/>
      <c r="B27" s="8"/>
      <c r="C27" s="8"/>
      <c r="D27" s="8"/>
      <c r="E27" s="46"/>
      <c r="F27" s="46"/>
      <c r="G27" s="44"/>
      <c r="H27" s="44"/>
      <c r="I27" s="44"/>
      <c r="J27" s="3"/>
      <c r="K27" s="3"/>
      <c r="L27" s="3"/>
      <c r="M27" s="3"/>
      <c r="N27" s="3"/>
    </row>
    <row r="28" ht="15.75" customHeight="1" spans="1:14" x14ac:dyDescent="0.25">
      <c r="A28" s="8" t="s">
        <v>74</v>
      </c>
      <c r="B28" s="8"/>
      <c r="C28" s="8"/>
      <c r="D28" s="50">
        <f>ROUND(C29*30/360,2)</f>
        <v>7.5</v>
      </c>
      <c r="E28" s="46" t="s">
        <v>28</v>
      </c>
      <c r="F28" s="46" t="s">
        <v>29</v>
      </c>
      <c r="G28" s="44">
        <f>+G13</f>
        <v>301.9206667</v>
      </c>
      <c r="H28" s="44"/>
      <c r="I28" s="44">
        <f>G28*D28</f>
        <v>2264.405</v>
      </c>
      <c r="J28" s="3"/>
      <c r="K28" s="3"/>
      <c r="L28" s="3"/>
      <c r="M28" s="3"/>
      <c r="N28" s="3"/>
    </row>
    <row r="29" ht="15.75" customHeight="1" spans="1:14" x14ac:dyDescent="0.25">
      <c r="A29" s="12">
        <v>42917</v>
      </c>
      <c r="B29" s="60">
        <f>+E7</f>
        <v>43008</v>
      </c>
      <c r="C29" s="58">
        <f>DAYS360(A29,B29)+1</f>
        <v>90</v>
      </c>
      <c r="D29" s="50"/>
      <c r="E29" s="46"/>
      <c r="F29" s="46"/>
      <c r="G29" s="44"/>
      <c r="H29" s="44"/>
      <c r="I29" s="44"/>
      <c r="J29" s="3"/>
      <c r="K29" s="3"/>
      <c r="L29" s="3"/>
      <c r="M29" s="3"/>
      <c r="N29" s="3"/>
    </row>
    <row r="30" ht="15.75" customHeight="1" spans="1:14" x14ac:dyDescent="0.25">
      <c r="A30" s="61" t="s">
        <v>23</v>
      </c>
      <c r="B30" s="61"/>
      <c r="C30" s="61"/>
      <c r="D30" s="61"/>
      <c r="E30" s="62"/>
      <c r="F30" s="62"/>
      <c r="G30" s="62"/>
      <c r="H30" s="62"/>
      <c r="I30" s="62">
        <f>SUM(I16:I28)</f>
        <v>44248.13882</v>
      </c>
      <c r="J30" s="3"/>
      <c r="K30" s="3"/>
      <c r="L30" s="3"/>
      <c r="M30" s="3"/>
      <c r="N30" s="3"/>
    </row>
    <row r="31" ht="15.75" customHeight="1" spans="1:14" x14ac:dyDescent="0.25">
      <c r="A31" s="8"/>
      <c r="B31" s="8"/>
      <c r="C31" s="8"/>
      <c r="D31" s="8"/>
      <c r="E31" s="44"/>
      <c r="F31" s="44"/>
      <c r="G31" s="44"/>
      <c r="H31" s="44"/>
      <c r="I31" s="44"/>
      <c r="J31" s="3"/>
      <c r="K31" s="3"/>
      <c r="L31" s="3"/>
      <c r="M31" s="3"/>
      <c r="N31" s="3"/>
    </row>
    <row r="32" ht="15.75" customHeight="1" spans="1:14" x14ac:dyDescent="0.25">
      <c r="A32" s="8" t="s">
        <v>37</v>
      </c>
      <c r="B32" s="8"/>
      <c r="C32" s="8"/>
      <c r="D32" s="3"/>
      <c r="E32" s="63"/>
      <c r="F32" s="44"/>
      <c r="G32" s="44"/>
      <c r="H32" s="64" t="s">
        <v>20</v>
      </c>
      <c r="I32" s="44">
        <f>SUM(I16:I28)</f>
        <v>44248.13882</v>
      </c>
      <c r="J32" s="3"/>
      <c r="K32" s="3"/>
      <c r="L32" s="3"/>
      <c r="M32" s="3"/>
      <c r="N32" s="3"/>
    </row>
    <row r="33" ht="15.75" customHeight="1" spans="1:14" x14ac:dyDescent="0.25">
      <c r="A33" s="8"/>
      <c r="B33" s="8"/>
      <c r="C33" s="8"/>
      <c r="D33" s="3"/>
      <c r="E33" s="63"/>
      <c r="F33" s="44"/>
      <c r="G33" s="44"/>
      <c r="H33" s="64"/>
      <c r="I33" s="44"/>
      <c r="J33" s="3"/>
      <c r="K33" s="3"/>
      <c r="L33" s="3"/>
      <c r="M33" s="3"/>
      <c r="N33" s="3"/>
    </row>
    <row r="34" ht="15.75" customHeight="1" spans="1:14" x14ac:dyDescent="0.25">
      <c r="A34" s="65" t="s">
        <v>38</v>
      </c>
      <c r="B34" s="2"/>
      <c r="C34" s="8"/>
      <c r="D34" s="3"/>
      <c r="E34" s="63"/>
      <c r="F34" s="44"/>
      <c r="G34" s="44"/>
      <c r="H34" s="64"/>
      <c r="I34" s="44"/>
      <c r="J34" s="3"/>
      <c r="K34" s="3"/>
      <c r="L34" s="3"/>
      <c r="M34" s="3"/>
      <c r="N34" s="3"/>
    </row>
    <row r="35" ht="15.75" customHeight="1" spans="1:14" x14ac:dyDescent="0.25">
      <c r="A35" s="8"/>
      <c r="B35" s="3" t="s">
        <v>86</v>
      </c>
      <c r="C35" s="8"/>
      <c r="D35" s="3"/>
      <c r="E35" s="63"/>
      <c r="F35" s="46"/>
      <c r="G35" s="44"/>
      <c r="H35" s="64"/>
      <c r="I35" s="64">
        <v>3579.908666666667</v>
      </c>
      <c r="J35" s="3"/>
      <c r="K35" s="3"/>
      <c r="L35" s="3"/>
      <c r="M35" s="3"/>
      <c r="N35" s="3"/>
    </row>
    <row r="36" ht="15.75" customHeight="1" spans="1:14" x14ac:dyDescent="0.25">
      <c r="A36" s="8"/>
      <c r="B36" s="3"/>
      <c r="C36" s="8"/>
      <c r="D36" s="3"/>
      <c r="E36" s="63"/>
      <c r="F36" s="46"/>
      <c r="G36" s="44"/>
      <c r="H36" s="64"/>
      <c r="I36" s="64"/>
      <c r="J36" s="3"/>
      <c r="K36" s="3"/>
      <c r="L36" s="3"/>
      <c r="M36" s="3"/>
      <c r="N36" s="3"/>
    </row>
    <row r="37" ht="15.75" customHeight="1" spans="1:14" x14ac:dyDescent="0.25">
      <c r="A37" s="8"/>
      <c r="B37" s="3"/>
      <c r="C37" s="8"/>
      <c r="D37" s="3"/>
      <c r="E37" s="63"/>
      <c r="F37" s="46"/>
      <c r="G37" s="44"/>
      <c r="H37" s="64"/>
      <c r="I37" s="66"/>
      <c r="J37" s="3"/>
      <c r="K37" s="3"/>
      <c r="L37" s="3"/>
      <c r="M37" s="3"/>
      <c r="N37" s="3"/>
    </row>
    <row r="38" ht="15.75" customHeight="1" spans="1:14" x14ac:dyDescent="0.25">
      <c r="A38" s="65" t="s">
        <v>40</v>
      </c>
      <c r="B38" s="2"/>
      <c r="C38" s="8"/>
      <c r="D38" s="3"/>
      <c r="E38" s="63"/>
      <c r="F38" s="44"/>
      <c r="G38" s="44"/>
      <c r="H38" s="64"/>
      <c r="I38" s="44"/>
      <c r="J38" s="3"/>
      <c r="K38" s="3"/>
      <c r="L38" s="3"/>
      <c r="M38" s="3">
        <v>0</v>
      </c>
      <c r="N38" s="3" t="s">
        <v>87</v>
      </c>
    </row>
    <row r="39" ht="15.75" customHeight="1" spans="1:14" x14ac:dyDescent="0.25">
      <c r="A39" s="3"/>
      <c r="B39" s="8" t="s">
        <v>41</v>
      </c>
      <c r="C39" s="8"/>
      <c r="D39" s="3"/>
      <c r="E39" s="63"/>
      <c r="F39" s="44"/>
      <c r="G39" s="44"/>
      <c r="H39" s="64"/>
      <c r="I39" s="67">
        <f>-122.84</f>
        <v>-122.84</v>
      </c>
      <c r="J39" s="3"/>
      <c r="K39" s="3"/>
      <c r="L39" s="3"/>
      <c r="M39" s="3">
        <f>113.87*4</f>
        <v>455.48</v>
      </c>
      <c r="N39" s="3" t="s">
        <v>47</v>
      </c>
    </row>
    <row r="40" ht="15.75" customHeight="1" spans="1:14" x14ac:dyDescent="0.25">
      <c r="A40" s="3"/>
      <c r="B40" s="8" t="s">
        <v>43</v>
      </c>
      <c r="C40" s="8"/>
      <c r="D40" s="3"/>
      <c r="E40" s="63"/>
      <c r="F40" s="44"/>
      <c r="G40" s="44"/>
      <c r="H40" s="64"/>
      <c r="I40" s="67">
        <f>-424.64</f>
        <v>-424.64</v>
      </c>
      <c r="J40" s="3"/>
      <c r="K40" s="3"/>
      <c r="L40" s="44"/>
      <c r="M40" s="3">
        <f>SUM(M38:M39)</f>
        <v>455.48</v>
      </c>
      <c r="N40" s="3"/>
    </row>
    <row r="41" ht="15.75" customHeight="1" spans="1:14" x14ac:dyDescent="0.25">
      <c r="A41" s="3"/>
      <c r="B41" s="8" t="s">
        <v>44</v>
      </c>
      <c r="C41" s="8"/>
      <c r="D41" s="3"/>
      <c r="E41" s="63"/>
      <c r="F41" s="44"/>
      <c r="G41" s="44"/>
      <c r="H41" s="64"/>
      <c r="I41" s="67">
        <v>0</v>
      </c>
      <c r="J41" s="3"/>
      <c r="K41" s="3"/>
      <c r="L41" s="44"/>
      <c r="M41" s="3"/>
      <c r="N41" s="3"/>
    </row>
    <row r="42" ht="15.75" customHeight="1" spans="1:14" x14ac:dyDescent="0.25">
      <c r="A42" s="3"/>
      <c r="B42" s="8" t="s">
        <v>45</v>
      </c>
      <c r="C42" s="8"/>
      <c r="D42" s="3"/>
      <c r="E42" s="63"/>
      <c r="F42" s="44"/>
      <c r="G42" s="44"/>
      <c r="H42" s="64"/>
      <c r="I42" s="67">
        <v>-10.02</v>
      </c>
      <c r="J42" s="3"/>
      <c r="K42" s="3"/>
      <c r="L42" s="44"/>
      <c r="M42" s="3"/>
      <c r="N42" s="3"/>
    </row>
    <row r="43" ht="15.75" customHeight="1" spans="1:14" x14ac:dyDescent="0.25">
      <c r="A43" s="3"/>
      <c r="B43" s="8" t="s">
        <v>46</v>
      </c>
      <c r="C43" s="8"/>
      <c r="D43" s="3"/>
      <c r="E43" s="63"/>
      <c r="F43" s="44"/>
      <c r="G43" s="44"/>
      <c r="H43" s="64"/>
      <c r="I43" s="67">
        <v>-455.48</v>
      </c>
      <c r="J43" s="3"/>
      <c r="K43" s="3"/>
      <c r="L43" s="44"/>
      <c r="M43" s="3"/>
      <c r="N43" s="3"/>
    </row>
    <row r="44" ht="15.75" customHeight="1" spans="1:14" x14ac:dyDescent="0.25">
      <c r="A44" s="3"/>
      <c r="B44" s="8"/>
      <c r="C44" s="8"/>
      <c r="D44" s="3"/>
      <c r="E44" s="63"/>
      <c r="F44" s="44"/>
      <c r="G44" s="44"/>
      <c r="H44" s="64"/>
      <c r="I44" s="67"/>
      <c r="J44" s="3"/>
      <c r="K44" s="3"/>
      <c r="L44" s="44"/>
      <c r="M44" s="3"/>
      <c r="N44" s="120"/>
    </row>
    <row r="45" ht="15.75" customHeight="1" spans="1:14" x14ac:dyDescent="0.25">
      <c r="A45" s="3"/>
      <c r="B45" s="8"/>
      <c r="C45" s="8"/>
      <c r="E45" s="63"/>
      <c r="F45" s="44"/>
      <c r="G45" s="44"/>
      <c r="H45" s="64"/>
      <c r="I45" s="67"/>
      <c r="J45" s="3"/>
      <c r="K45" s="3"/>
      <c r="L45" s="44"/>
      <c r="M45" s="3"/>
      <c r="N45" s="3"/>
    </row>
    <row r="46" ht="15.75" customHeight="1" spans="1:14" x14ac:dyDescent="0.25">
      <c r="A46" s="65" t="s">
        <v>50</v>
      </c>
      <c r="B46" s="4"/>
      <c r="C46" s="4"/>
      <c r="D46" s="4"/>
      <c r="E46" s="69"/>
      <c r="F46" s="69"/>
      <c r="G46" s="69"/>
      <c r="H46" s="69"/>
      <c r="I46" s="46"/>
      <c r="J46" s="3"/>
      <c r="K46" s="3"/>
      <c r="L46" s="3"/>
      <c r="M46" s="3"/>
      <c r="N46" s="3"/>
    </row>
    <row r="47" ht="15.75" customHeight="1" spans="1:14" x14ac:dyDescent="0.25">
      <c r="A47" s="3"/>
      <c r="B47" s="3"/>
      <c r="C47" s="3"/>
      <c r="D47" s="3"/>
      <c r="E47" s="63"/>
      <c r="F47" s="63"/>
      <c r="G47" s="63"/>
      <c r="H47" s="63"/>
      <c r="I47" s="63"/>
      <c r="J47" s="3"/>
      <c r="K47" s="3"/>
      <c r="L47" s="3"/>
      <c r="M47" s="3"/>
      <c r="N47" s="3"/>
    </row>
    <row r="48" ht="15.75" customHeight="1" spans="1:14" x14ac:dyDescent="0.25">
      <c r="A48" s="10" t="s">
        <v>51</v>
      </c>
      <c r="B48" s="10"/>
      <c r="C48" s="13">
        <f>E7</f>
        <v>43008</v>
      </c>
      <c r="D48" s="3"/>
      <c r="E48" s="63"/>
      <c r="F48" s="44"/>
      <c r="G48" s="44"/>
      <c r="H48" s="64" t="s">
        <v>20</v>
      </c>
      <c r="I48" s="44">
        <f>SUM(I32:I47)</f>
        <v>46815.06748</v>
      </c>
      <c r="J48" s="3"/>
      <c r="K48" s="3"/>
      <c r="L48" s="3"/>
      <c r="M48" s="3"/>
      <c r="N48" s="3"/>
    </row>
    <row r="49" ht="15.75" customHeight="1" spans="1:14" x14ac:dyDescent="0.25">
      <c r="A49" s="10"/>
      <c r="B49" s="10"/>
      <c r="C49" s="13"/>
      <c r="D49" s="3"/>
      <c r="E49" s="63"/>
      <c r="F49" s="44"/>
      <c r="G49" s="44"/>
      <c r="H49" s="64"/>
      <c r="I49" s="44"/>
      <c r="J49" s="3"/>
      <c r="K49" s="3"/>
      <c r="L49" s="3"/>
      <c r="M49" s="3"/>
      <c r="N49" s="3"/>
    </row>
    <row r="50" ht="15.75" customHeight="1" spans="1:14" x14ac:dyDescent="0.25">
      <c r="A50" s="8"/>
      <c r="B50" s="8"/>
      <c r="C50" s="8"/>
      <c r="D50" s="3"/>
      <c r="E50" s="63"/>
      <c r="F50" s="44"/>
      <c r="G50" s="44"/>
      <c r="H50" s="64"/>
      <c r="I50" s="44"/>
      <c r="J50" s="3"/>
      <c r="K50" s="3"/>
      <c r="L50" s="3"/>
      <c r="M50" s="3"/>
      <c r="N50" s="3"/>
    </row>
    <row r="51" ht="15.75" customHeight="1" spans="1:14" x14ac:dyDescent="0.25">
      <c r="A51" s="70" t="s">
        <v>23</v>
      </c>
      <c r="B51" s="70"/>
      <c r="C51" s="70"/>
      <c r="D51" s="71"/>
      <c r="E51" s="72"/>
      <c r="F51" s="73"/>
      <c r="G51" s="73"/>
      <c r="H51" s="64" t="s">
        <v>20</v>
      </c>
      <c r="I51" s="73">
        <f>SUM(I48:I50)</f>
        <v>46815.06748</v>
      </c>
      <c r="J51" s="3"/>
      <c r="K51" s="3"/>
      <c r="L51" s="3"/>
      <c r="M51" s="3"/>
      <c r="N51" s="3"/>
    </row>
    <row r="52" ht="15.75" customHeight="1" spans="1:14" x14ac:dyDescent="0.25">
      <c r="A52" s="6"/>
      <c r="B52" s="8"/>
      <c r="C52" s="8"/>
      <c r="D52" s="6"/>
      <c r="E52" s="50"/>
      <c r="F52" s="8"/>
      <c r="G52" s="8"/>
      <c r="H52" s="8"/>
      <c r="I52" s="8"/>
      <c r="J52" s="3"/>
      <c r="K52" s="3"/>
      <c r="L52" s="3"/>
      <c r="M52" s="3"/>
      <c r="N52" s="3"/>
    </row>
    <row r="53" ht="15.75" customHeight="1" spans="1:14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ht="15.75" customHeight="1" spans="1:14" x14ac:dyDescent="0.25">
      <c r="A54" s="6"/>
      <c r="B54" s="8"/>
      <c r="C54" s="8"/>
      <c r="D54" s="6"/>
      <c r="E54" s="50"/>
      <c r="F54" s="8"/>
      <c r="G54" s="8"/>
      <c r="H54" s="3"/>
      <c r="I54" s="3"/>
      <c r="J54" s="3"/>
      <c r="K54" s="3"/>
      <c r="L54" s="3"/>
      <c r="M54" s="3"/>
      <c r="N54" s="3"/>
    </row>
    <row r="55" ht="15.75" customHeight="1" spans="1:14" x14ac:dyDescent="0.25">
      <c r="A55" s="75" t="s">
        <v>52</v>
      </c>
      <c r="B55" s="3"/>
      <c r="C55" s="3"/>
      <c r="D55" s="3"/>
      <c r="E55" s="75" t="s">
        <v>53</v>
      </c>
      <c r="F55" s="3"/>
      <c r="G55" s="3"/>
      <c r="H55" s="3"/>
      <c r="I55" s="3"/>
      <c r="J55" s="3"/>
      <c r="K55" s="3"/>
      <c r="L55" s="63"/>
      <c r="M55" s="3"/>
      <c r="N55" s="3"/>
    </row>
    <row r="56" ht="15.75" customHeight="1" spans="1:14" x14ac:dyDescent="0.25">
      <c r="A56" s="3" t="s">
        <v>88</v>
      </c>
      <c r="B56" s="3">
        <v>2017</v>
      </c>
      <c r="C56" s="3">
        <v>0</v>
      </c>
      <c r="D56" s="3"/>
      <c r="E56" s="3" t="s">
        <v>88</v>
      </c>
      <c r="F56" s="3">
        <v>2017</v>
      </c>
      <c r="G56" s="76">
        <v>0</v>
      </c>
      <c r="H56" s="3"/>
      <c r="I56" s="76"/>
      <c r="J56" s="3"/>
      <c r="K56" s="3"/>
      <c r="L56" s="3"/>
      <c r="M56" s="3"/>
      <c r="N56" s="3"/>
    </row>
    <row r="57" ht="15.75" customHeight="1" spans="1:14" x14ac:dyDescent="0.25">
      <c r="A57" s="3" t="s">
        <v>55</v>
      </c>
      <c r="B57" s="3">
        <v>2017</v>
      </c>
      <c r="C57" s="118">
        <v>9057.62</v>
      </c>
      <c r="D57" s="3"/>
      <c r="E57" s="3" t="s">
        <v>55</v>
      </c>
      <c r="F57" s="3">
        <v>2017</v>
      </c>
      <c r="G57" s="76">
        <v>1811.52</v>
      </c>
      <c r="H57" s="3"/>
      <c r="I57" s="3"/>
      <c r="J57" s="77"/>
      <c r="K57" s="3"/>
      <c r="L57" s="3"/>
      <c r="M57" s="3"/>
      <c r="N57" s="3"/>
    </row>
    <row r="58" ht="15.75" customHeight="1" spans="1:14" x14ac:dyDescent="0.25">
      <c r="A58" s="3" t="s">
        <v>56</v>
      </c>
      <c r="B58" s="3">
        <v>2017</v>
      </c>
      <c r="C58" s="3">
        <v>9057.62</v>
      </c>
      <c r="D58" s="3"/>
      <c r="E58" s="3" t="s">
        <v>56</v>
      </c>
      <c r="F58" s="3">
        <v>2017</v>
      </c>
      <c r="G58" s="76">
        <v>603.84</v>
      </c>
      <c r="H58" s="3"/>
      <c r="I58" s="3"/>
      <c r="J58" s="77"/>
      <c r="K58" s="3"/>
      <c r="L58" s="3"/>
      <c r="M58" s="3"/>
      <c r="N58" s="3"/>
    </row>
    <row r="59" ht="15.75" customHeight="1" spans="1:14" x14ac:dyDescent="0.25">
      <c r="A59" s="3" t="s">
        <v>58</v>
      </c>
      <c r="B59" s="3">
        <v>2017</v>
      </c>
      <c r="C59" s="3">
        <v>9057.62</v>
      </c>
      <c r="D59" s="3"/>
      <c r="E59" s="3" t="s">
        <v>58</v>
      </c>
      <c r="F59" s="3">
        <v>2017</v>
      </c>
      <c r="G59" s="76">
        <v>0</v>
      </c>
      <c r="H59" s="3"/>
      <c r="I59" s="3"/>
      <c r="J59" s="77"/>
      <c r="K59" s="3"/>
      <c r="L59" s="3"/>
      <c r="M59" s="3"/>
      <c r="N59" s="3"/>
    </row>
    <row r="60" ht="15.75" customHeight="1" spans="1:14" x14ac:dyDescent="0.25">
      <c r="A60" s="3" t="s">
        <v>60</v>
      </c>
      <c r="B60" s="3">
        <v>2017</v>
      </c>
      <c r="C60" s="3">
        <v>9057.62</v>
      </c>
      <c r="D60" s="3"/>
      <c r="E60" s="3" t="s">
        <v>60</v>
      </c>
      <c r="F60" s="3">
        <v>2017</v>
      </c>
      <c r="G60" s="76">
        <v>0</v>
      </c>
      <c r="H60" s="3"/>
      <c r="I60" s="3"/>
      <c r="J60" s="3"/>
      <c r="K60" s="3"/>
      <c r="L60" s="3"/>
      <c r="M60" s="3"/>
      <c r="N60" s="3"/>
    </row>
    <row r="61" ht="15.75" customHeight="1" spans="1:14" x14ac:dyDescent="0.25">
      <c r="A61" s="3" t="s">
        <v>62</v>
      </c>
      <c r="B61" s="3">
        <v>2017</v>
      </c>
      <c r="C61" s="3">
        <v>9057.62</v>
      </c>
      <c r="D61" s="3"/>
      <c r="E61" s="3" t="s">
        <v>62</v>
      </c>
      <c r="F61" s="3">
        <v>2017</v>
      </c>
      <c r="G61" s="76">
        <v>0</v>
      </c>
      <c r="H61" s="3"/>
      <c r="I61" s="3"/>
      <c r="J61" s="3"/>
      <c r="K61" s="3"/>
      <c r="L61" s="3"/>
      <c r="M61" s="3"/>
      <c r="N61" s="3"/>
    </row>
    <row r="62" ht="15.75" customHeight="1" spans="1:14" x14ac:dyDescent="0.25">
      <c r="A62" s="3" t="s">
        <v>64</v>
      </c>
      <c r="B62" s="3">
        <v>2017</v>
      </c>
      <c r="C62" s="3">
        <v>9057.62</v>
      </c>
      <c r="D62" s="3"/>
      <c r="E62" s="3" t="s">
        <v>64</v>
      </c>
      <c r="F62" s="3">
        <v>2017</v>
      </c>
      <c r="G62" s="76">
        <v>603.8413333333334</v>
      </c>
      <c r="H62" s="3"/>
      <c r="I62" s="3"/>
      <c r="J62" s="3"/>
      <c r="K62" s="3"/>
      <c r="L62" s="3"/>
      <c r="M62" s="3"/>
      <c r="N62" s="3"/>
    </row>
    <row r="63" ht="15.75" customHeight="1" spans="1:14" x14ac:dyDescent="0.25">
      <c r="A63" s="75" t="s">
        <v>66</v>
      </c>
      <c r="B63" s="75"/>
      <c r="C63" s="78">
        <f>SUM(C56:C62)</f>
        <v>54345.72</v>
      </c>
      <c r="D63" s="78">
        <f>(C63/6)</f>
        <v>9057.62</v>
      </c>
      <c r="E63" s="75" t="s">
        <v>66</v>
      </c>
      <c r="F63" s="75"/>
      <c r="G63" s="78">
        <f>SUM(G56:G62)</f>
        <v>3019.201333</v>
      </c>
      <c r="H63" s="78">
        <f>(G63/180)*30</f>
        <v>503.2002222</v>
      </c>
      <c r="I63" s="3"/>
      <c r="J63" s="3"/>
      <c r="K63" s="3"/>
      <c r="L63" s="3"/>
      <c r="M63" s="3"/>
      <c r="N63" s="3"/>
    </row>
    <row r="64" ht="15.75" customHeight="1" spans="1:14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ht="15.75" customHeight="1" spans="1:14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ht="15.75" customHeight="1" spans="1:14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121">
        <f>+D63*1.16</f>
        <v>10506.8392</v>
      </c>
      <c r="M66" s="121"/>
      <c r="N66" s="3"/>
    </row>
    <row r="67" ht="15.75" customHeight="1" spans="1:14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122">
        <f>+L66+H63</f>
        <v>11010.03942</v>
      </c>
      <c r="M67" s="121"/>
      <c r="N67" s="3"/>
    </row>
    <row r="68" ht="15.75" customHeight="1" spans="1:14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ht="15.75" customHeight="1" spans="1:14" x14ac:dyDescent="0.25">
      <c r="A69" s="82"/>
      <c r="B69" s="82"/>
      <c r="C69" s="82"/>
      <c r="D69" s="82"/>
      <c r="E69" s="82"/>
      <c r="F69" s="3"/>
      <c r="G69" s="3"/>
      <c r="H69" s="3"/>
      <c r="I69" s="3"/>
      <c r="J69" s="3"/>
      <c r="K69" s="3"/>
      <c r="L69" s="3"/>
      <c r="M69" s="3"/>
      <c r="N69" s="3"/>
    </row>
    <row r="70" ht="15.75" customHeight="1" spans="1:14" x14ac:dyDescent="0.25">
      <c r="A70" s="83"/>
      <c r="B70" s="83"/>
      <c r="C70" s="21"/>
      <c r="D70" s="83"/>
      <c r="E70" s="83"/>
      <c r="F70" s="84"/>
      <c r="G70" s="83"/>
      <c r="H70" s="83"/>
      <c r="I70" s="84"/>
      <c r="J70" s="3"/>
      <c r="K70" s="3"/>
      <c r="L70" s="3"/>
      <c r="M70" s="3"/>
      <c r="N70" s="3"/>
    </row>
    <row r="71" ht="15.75" customHeight="1" spans="1:14" x14ac:dyDescent="0.25">
      <c r="A71" s="85" t="s">
        <v>68</v>
      </c>
      <c r="B71" s="85"/>
      <c r="C71" s="84"/>
      <c r="D71" s="84" t="s">
        <v>69</v>
      </c>
      <c r="E71" s="84"/>
      <c r="F71" s="84"/>
      <c r="G71" s="84" t="s">
        <v>70</v>
      </c>
      <c r="H71" s="84"/>
      <c r="I71" s="84"/>
      <c r="J71" s="3"/>
      <c r="K71" s="3"/>
      <c r="L71" s="3"/>
      <c r="M71" s="3"/>
      <c r="N71" s="3"/>
    </row>
    <row r="72" ht="15.75" customHeight="1" spans="1:14" x14ac:dyDescent="0.25">
      <c r="A72" s="84"/>
      <c r="B72" s="84"/>
      <c r="C72" s="84"/>
      <c r="D72" s="84"/>
      <c r="E72" s="84"/>
      <c r="F72" s="84"/>
      <c r="G72" s="84"/>
      <c r="H72" s="84"/>
      <c r="I72" s="84"/>
      <c r="J72" s="3"/>
      <c r="K72" s="3"/>
      <c r="L72" s="3"/>
      <c r="M72" s="3"/>
      <c r="N72" s="3"/>
    </row>
    <row r="73" ht="15.75" customHeight="1" spans="1:14" x14ac:dyDescent="0.25">
      <c r="A73" s="84"/>
      <c r="B73" s="84"/>
      <c r="C73" s="84"/>
      <c r="D73" s="84"/>
      <c r="E73" s="84"/>
      <c r="F73" s="84"/>
      <c r="G73" s="84"/>
      <c r="H73" s="84"/>
      <c r="I73" s="84"/>
      <c r="J73" s="3"/>
      <c r="K73" s="3"/>
      <c r="L73" s="3"/>
      <c r="M73" s="3"/>
      <c r="N73" s="3"/>
    </row>
    <row r="74" ht="15.75" customHeight="1" spans="1:14" x14ac:dyDescent="0.25">
      <c r="A74" s="84"/>
      <c r="B74" s="84"/>
      <c r="C74" s="84"/>
      <c r="D74" s="84"/>
      <c r="E74" s="84"/>
      <c r="F74" s="84"/>
      <c r="G74" s="84"/>
      <c r="H74" s="84"/>
      <c r="I74" s="84"/>
      <c r="J74" s="3"/>
      <c r="K74" s="3"/>
      <c r="L74" s="3"/>
      <c r="M74" s="3"/>
      <c r="N74" s="3"/>
    </row>
    <row r="75" ht="15.75" customHeight="1" spans="1:14" x14ac:dyDescent="0.25">
      <c r="A75" s="84"/>
      <c r="B75" s="84"/>
      <c r="C75" s="84"/>
      <c r="D75" s="84"/>
      <c r="E75" s="84"/>
      <c r="F75" s="84"/>
      <c r="G75" s="84"/>
      <c r="H75" s="84"/>
      <c r="I75" s="84"/>
      <c r="J75" s="3"/>
      <c r="K75" s="3"/>
      <c r="L75" s="3"/>
      <c r="M75" s="3"/>
      <c r="N75" s="3"/>
    </row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I1"/>
    <mergeCell ref="A34:B34"/>
    <mergeCell ref="A38:B38"/>
  </mergeCells>
  <pageMargins left="0.7" right="0.7" top="0.75" bottom="0.75" header="0" footer="0"/>
  <pageSetup paperSize="9" orientation="portrait" horizontalDpi="4294967295" verticalDpi="4294967295" scale="100" fitToWidth="1" fitToHeight="1" firstPageNumber="1" useFirstPageNumber="1" copies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Guillermo</vt:lpstr>
      <vt:lpstr>Rene Cortes</vt:lpstr>
      <vt:lpstr>Calculo</vt:lpstr>
      <vt:lpstr>Iveth Salasar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2025-12-01T22:27:13Z</dcterms:created>
  <dcterms:modified xsi:type="dcterms:W3CDTF">2025-12-01T22:27:13Z</dcterms:modified>
</cp:coreProperties>
</file>