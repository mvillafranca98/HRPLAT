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Total amount of days remaining after the last month worked
	-Armando Villafranca
----
Total months remaining after the years worked
	-Armando Villafranca
----
Total amount of years completed
	-Armando Villafranca
----
User's last day date
	-Armando Villafranca
----
User's starting date
	-Armando Villafranca
----
User's name
	-Armando Villafranca</t>
      </text>
    </comment>
    <comment authorId="0" ref="D3">
      <text>
        <t xml:space="preserve">User/employee's name
	-Armando Villafranca</t>
      </text>
    </comment>
    <comment authorId="0" ref="I3">
      <text>
        <t xml:space="preserve">DNI number
	-Armando Villafranca</t>
      </text>
    </comment>
    <comment authorId="0" ref="I4">
      <text>
        <t xml:space="preserve">Termination motive
	-Armando Villafranca</t>
      </text>
    </comment>
    <comment authorId="0" ref="E5">
      <text>
        <t xml:space="preserve">Start date of the user/employee
	-Armando Villafranca</t>
      </text>
    </comment>
    <comment authorId="0" ref="E7">
      <text>
        <t xml:space="preserve">Last day's date of the user/employee
	-Armando Villafranca</t>
      </text>
    </comment>
    <comment authorId="0" ref="D16">
      <text>
        <t xml:space="preserve">Notice:
1 to 98 days= 1 day
90 to 179 days= 7 days
180 to 359 days= 14 days
360 to 720 days= 1 month per year (2 year limit)
	-Armando Villafranca</t>
      </text>
    </comment>
    <comment authorId="0" ref="C17">
      <text>
        <t xml:space="preserve">Total days worked, based on 30 days per month
	-Armando Villafranca</t>
      </text>
    </comment>
    <comment authorId="0" ref="C22">
      <text>
        <t xml:space="preserve">number of vacation days not claimed by the user (since last anniversary)
	-Armando Villafranca</t>
      </text>
    </comment>
    <comment authorId="0" ref="A25">
      <text>
        <t xml:space="preserve">user's last anniversary date
	-Armando Villafranca</t>
      </text>
    </comment>
    <comment authorId="0" ref="B25">
      <text>
        <t xml:space="preserve">user's termination date
	-Armando Villafranca</t>
      </text>
    </comment>
    <comment authorId="0" ref="A26">
      <text>
        <t xml:space="preserve">number of vacation days user is allowed to take since last anniversary
	-Armando Villafranca</t>
      </text>
    </comment>
    <comment authorId="0" ref="A28">
      <text>
        <t xml:space="preserve">last year of work's initial day
	-Armando Villafranca</t>
      </text>
    </comment>
    <comment authorId="0" ref="B28">
      <text>
        <t xml:space="preserve">user's termination date
	-Armando Villafranca</t>
      </text>
    </comment>
    <comment authorId="0" ref="C28">
      <text>
        <t xml:space="preserve">number of work days with benefits of 13th month (Honduras law)
	-Armando Villafranca</t>
      </text>
    </comment>
    <comment authorId="0" ref="A31">
      <text>
        <t xml:space="preserve">first day of july of the year of termination
	-Armando Villafranca</t>
      </text>
    </comment>
    <comment authorId="0" ref="B31">
      <text>
        <t xml:space="preserve">user's termination date
	-Armando Villafranca</t>
      </text>
    </comment>
    <comment authorId="0" ref="C31">
      <text>
        <t xml:space="preserve">number of work days with benefits of 14th month (Honduras law)
	-Armando Villafranca</t>
      </text>
    </comment>
    <comment authorId="0" ref="C54">
      <text>
        <t xml:space="preserve">monthly salary of 6th month ago
	-Armando Villafranca</t>
      </text>
    </comment>
    <comment authorId="0" ref="C55">
      <text>
        <t xml:space="preserve">monthly salary of 6th month ago
	-Armando Villafranca</t>
      </text>
    </comment>
    <comment authorId="0" ref="C56">
      <text>
        <t xml:space="preserve">monthly salary of 6th month ago
	-Armando Villafranca</t>
      </text>
    </comment>
    <comment authorId="0" ref="C57">
      <text>
        <t xml:space="preserve">monthly salary of 6th month ago
	-Armando Villafranca</t>
      </text>
    </comment>
    <comment authorId="0" ref="C58">
      <text>
        <t xml:space="preserve">monthly salary of 6th month ago
	-Armando Villafranca</t>
      </text>
    </comment>
    <comment authorId="0" ref="C59">
      <text>
        <t xml:space="preserve">monthly salary of 6th month ago
	-Armando Villafranca</t>
      </text>
    </comment>
  </commentList>
</comments>
</file>

<file path=xl/sharedStrings.xml><?xml version="1.0" encoding="utf-8"?>
<sst xmlns="http://schemas.openxmlformats.org/spreadsheetml/2006/main" count="70" uniqueCount="50">
  <si>
    <t>CALCULO DE PRESTACIONES LABORALES</t>
  </si>
  <si>
    <t xml:space="preserve">EMPLEADO </t>
  </si>
  <si>
    <t>Mireya Pineda</t>
  </si>
  <si>
    <t>No. Identidad</t>
  </si>
  <si>
    <t>Motivo</t>
  </si>
  <si>
    <t>Renuncia</t>
  </si>
  <si>
    <t>FECHA DE INGRESO</t>
  </si>
  <si>
    <t>FECHA DE RETIRO</t>
  </si>
  <si>
    <t>ANTIGÜEDAD</t>
  </si>
  <si>
    <t>AÑOS</t>
  </si>
  <si>
    <t>MESES</t>
  </si>
  <si>
    <t>DIAS</t>
  </si>
  <si>
    <t>Base</t>
  </si>
  <si>
    <t>Base Mens</t>
  </si>
  <si>
    <t>Base Prom Mens</t>
  </si>
  <si>
    <t>Prom. Mens</t>
  </si>
  <si>
    <t>SUELDO MENSUAL ORDINARIO</t>
  </si>
  <si>
    <t>Lps</t>
  </si>
  <si>
    <t xml:space="preserve"> </t>
  </si>
  <si>
    <t>Promedio</t>
  </si>
  <si>
    <t>TOTAL</t>
  </si>
  <si>
    <t>Prom. Dia</t>
  </si>
  <si>
    <t>SUELDO MENSUAL PROMEDIO</t>
  </si>
  <si>
    <t>CALCULO</t>
  </si>
  <si>
    <t>PREAVISO</t>
  </si>
  <si>
    <t>Días</t>
  </si>
  <si>
    <t>x</t>
  </si>
  <si>
    <t>Artículo 119. El término del preaviso empezará a contar desde el día siguiente al
de la notificación respectiva.</t>
  </si>
  <si>
    <t>&gt;</t>
  </si>
  <si>
    <t>AUXILIO DE CESANTIA</t>
  </si>
  <si>
    <t>AUXILIO DE CESANTIA PROPORCIONAL</t>
  </si>
  <si>
    <t xml:space="preserve">VACACIONES </t>
  </si>
  <si>
    <t>VACACIONES PROPORCIONALES</t>
  </si>
  <si>
    <t>DECIMO TERCER MES</t>
  </si>
  <si>
    <t>DECIMO CUARTO MES</t>
  </si>
  <si>
    <t>PRESTACIONES</t>
  </si>
  <si>
    <t>A FAVOR</t>
  </si>
  <si>
    <t>N/A</t>
  </si>
  <si>
    <t>DEDUCCIONES</t>
  </si>
  <si>
    <t>Impuesto vecinal 2023</t>
  </si>
  <si>
    <t>Penalización 30 días de salario por incumplimiento de preaviso</t>
  </si>
  <si>
    <t xml:space="preserve">Artículo 118. El trabajador culpable de no haber dado el preaviso o de haberlo
dado sin ajustarse a los requisitos legales, quedará obligado a pagar al patrono 
una cantidad equivalente a la mitad del salario que corresponda al término del
preaviso.
En caso de que el patrono sea el culpable quedará obligado a pagar al trabajador
una cantidad equivalente a su salario durante el término del preaviso. </t>
  </si>
  <si>
    <t>RESUMEN</t>
  </si>
  <si>
    <t xml:space="preserve">PRESTACIONES AL </t>
  </si>
  <si>
    <t>SALARIO MENSUAL:</t>
  </si>
  <si>
    <t>INGRESOS ADICIONALES (Horas Extras):</t>
  </si>
  <si>
    <t>Suman</t>
  </si>
  <si>
    <t>ELABORADO POR:</t>
  </si>
  <si>
    <t>REVISADO POR :</t>
  </si>
  <si>
    <t>RECIBE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</si>
</sst>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M/yyyy"/>
    <numFmt numFmtId="165" formatCode="dd\-mmm\-yyyy"/>
    <numFmt numFmtId="166" formatCode="dd/mm/yyyy"/>
    <numFmt numFmtId="167" formatCode="&quot;L.&quot;\ #,##0.00"/>
    <numFmt numFmtId="168" formatCode="_ * #,##0.00_ ;_ * \-#,##0.00_ ;_ * &quot;-&quot;??_ ;_ @_ "/>
    <numFmt numFmtId="169" formatCode="_(* #,##0.00_);_(* \(#,##0.00\);_(* &quot;-&quot;??_);_(@_)"/>
    <numFmt numFmtId="170" formatCode="_ &quot;L&quot;\ * #,##0.00_ ;_ &quot;L&quot;\ * \-#,##0.00_ ;_ &quot;L&quot;\ * &quot;-&quot;??_ ;_ @_ "/>
  </numFmts>
  <fonts count="13">
    <font>
      <sz val="10.0"/>
      <color rgb="FF000000"/>
      <name val="Arial"/>
      <scheme val="minor"/>
    </font>
    <font>
      <b/>
      <i/>
      <u/>
      <sz val="14.0"/>
      <color theme="1"/>
      <name val="Times New Roman"/>
    </font>
    <font/>
    <font>
      <sz val="11.0"/>
      <color theme="1"/>
      <name val="Calibri"/>
    </font>
    <font>
      <sz val="14.0"/>
      <color theme="1"/>
      <name val="Times New Roman"/>
    </font>
    <font>
      <b/>
      <sz val="14.0"/>
      <color theme="1"/>
      <name val="Times New Roman"/>
    </font>
    <font>
      <b/>
      <u/>
      <sz val="16.0"/>
      <color theme="1"/>
      <name val="Times New Roman"/>
    </font>
    <font>
      <b/>
      <i/>
      <sz val="11.0"/>
      <color theme="1"/>
      <name val="Calibri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color theme="1"/>
      <name val="Arial"/>
    </font>
    <font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</fills>
  <borders count="28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2" fontId="3" numFmtId="0" xfId="0" applyAlignment="1" applyBorder="1" applyFont="1">
      <alignment vertical="bottom"/>
    </xf>
    <xf borderId="3" fillId="2" fontId="3" numFmtId="0" xfId="0" applyBorder="1" applyFont="1"/>
    <xf borderId="3" fillId="2" fontId="4" numFmtId="0" xfId="0" applyAlignment="1" applyBorder="1" applyFont="1">
      <alignment vertical="bottom"/>
    </xf>
    <xf borderId="3" fillId="2" fontId="5" numFmtId="0" xfId="0" applyAlignment="1" applyBorder="1" applyFont="1">
      <alignment readingOrder="0" vertical="bottom"/>
    </xf>
    <xf borderId="3" fillId="2" fontId="5" numFmtId="0" xfId="0" applyAlignment="1" applyBorder="1" applyFont="1">
      <alignment vertical="bottom"/>
    </xf>
    <xf borderId="4" fillId="2" fontId="4" numFmtId="164" xfId="0" applyAlignment="1" applyBorder="1" applyFont="1" applyNumberFormat="1">
      <alignment horizontal="right" readingOrder="0" vertical="bottom"/>
    </xf>
    <xf borderId="3" fillId="2" fontId="3" numFmtId="165" xfId="0" applyAlignment="1" applyBorder="1" applyFont="1" applyNumberFormat="1">
      <alignment vertical="bottom"/>
    </xf>
    <xf borderId="4" fillId="2" fontId="4" numFmtId="166" xfId="0" applyAlignment="1" applyBorder="1" applyFont="1" applyNumberFormat="1">
      <alignment horizontal="right" readingOrder="0" vertical="bottom"/>
    </xf>
    <xf borderId="3" fillId="2" fontId="4" numFmtId="0" xfId="0" applyAlignment="1" applyBorder="1" applyFont="1">
      <alignment horizontal="right" vertical="bottom"/>
    </xf>
    <xf borderId="3" fillId="2" fontId="4" numFmtId="3" xfId="0" applyAlignment="1" applyBorder="1" applyFont="1" applyNumberFormat="1">
      <alignment horizontal="right" vertical="bottom"/>
    </xf>
    <xf borderId="5" fillId="2" fontId="4" numFmtId="0" xfId="0" applyAlignment="1" applyBorder="1" applyFont="1">
      <alignment horizontal="right" vertical="bottom"/>
    </xf>
    <xf borderId="6" fillId="2" fontId="4" numFmtId="0" xfId="0" applyAlignment="1" applyBorder="1" applyFont="1">
      <alignment vertical="bottom"/>
    </xf>
    <xf borderId="6" fillId="2" fontId="4" numFmtId="0" xfId="0" applyAlignment="1" applyBorder="1" applyFont="1">
      <alignment horizontal="right" vertical="bottom"/>
    </xf>
    <xf borderId="6" fillId="2" fontId="4" numFmtId="3" xfId="0" applyAlignment="1" applyBorder="1" applyFont="1" applyNumberFormat="1">
      <alignment horizontal="right" vertical="bottom"/>
    </xf>
    <xf borderId="7" fillId="2" fontId="4" numFmtId="0" xfId="0" applyAlignment="1" applyBorder="1" applyFont="1">
      <alignment vertical="bottom"/>
    </xf>
    <xf borderId="8" fillId="2" fontId="3" numFmtId="0" xfId="0" applyAlignment="1" applyBorder="1" applyFont="1">
      <alignment vertical="bottom"/>
    </xf>
    <xf borderId="9" fillId="2" fontId="4" numFmtId="0" xfId="0" applyAlignment="1" applyBorder="1" applyFont="1">
      <alignment horizontal="center" vertical="bottom"/>
    </xf>
    <xf borderId="10" fillId="2" fontId="4" numFmtId="0" xfId="0" applyAlignment="1" applyBorder="1" applyFont="1">
      <alignment horizontal="center" vertical="bottom"/>
    </xf>
    <xf borderId="11" fillId="2" fontId="4" numFmtId="0" xfId="0" applyAlignment="1" applyBorder="1" applyFont="1">
      <alignment vertical="bottom"/>
    </xf>
    <xf borderId="12" fillId="2" fontId="4" numFmtId="0" xfId="0" applyAlignment="1" applyBorder="1" applyFont="1">
      <alignment horizontal="center" vertical="bottom"/>
    </xf>
    <xf borderId="13" fillId="2" fontId="4" numFmtId="0" xfId="0" applyAlignment="1" applyBorder="1" applyFont="1">
      <alignment vertical="bottom"/>
    </xf>
    <xf borderId="14" fillId="2" fontId="4" numFmtId="167" xfId="0" applyAlignment="1" applyBorder="1" applyFont="1" applyNumberFormat="1">
      <alignment horizontal="right" readingOrder="0" vertical="bottom"/>
    </xf>
    <xf borderId="3" fillId="2" fontId="3" numFmtId="167" xfId="0" applyAlignment="1" applyBorder="1" applyFont="1" applyNumberFormat="1">
      <alignment vertical="bottom"/>
    </xf>
    <xf borderId="15" fillId="2" fontId="4" numFmtId="167" xfId="0" applyAlignment="1" applyBorder="1" applyFont="1" applyNumberFormat="1">
      <alignment horizontal="right" vertical="bottom"/>
    </xf>
    <xf borderId="16" fillId="2" fontId="4" numFmtId="167" xfId="0" applyAlignment="1" applyBorder="1" applyFont="1" applyNumberFormat="1">
      <alignment horizontal="right" vertical="bottom"/>
    </xf>
    <xf borderId="17" fillId="2" fontId="4" numFmtId="167" xfId="0" applyAlignment="1" applyBorder="1" applyFont="1" applyNumberFormat="1">
      <alignment horizontal="right" vertical="bottom"/>
    </xf>
    <xf borderId="18" fillId="2" fontId="3" numFmtId="0" xfId="0" applyAlignment="1" applyBorder="1" applyFont="1">
      <alignment vertical="bottom"/>
    </xf>
    <xf borderId="19" fillId="2" fontId="4" numFmtId="167" xfId="0" applyAlignment="1" applyBorder="1" applyFont="1" applyNumberFormat="1">
      <alignment horizontal="center" vertical="bottom"/>
    </xf>
    <xf borderId="20" fillId="2" fontId="5" numFmtId="167" xfId="0" applyAlignment="1" applyBorder="1" applyFont="1" applyNumberFormat="1">
      <alignment horizontal="center" vertical="bottom"/>
    </xf>
    <xf borderId="21" fillId="2" fontId="5" numFmtId="167" xfId="0" applyAlignment="1" applyBorder="1" applyFont="1" applyNumberFormat="1">
      <alignment horizontal="center" vertical="bottom"/>
    </xf>
    <xf borderId="22" fillId="2" fontId="4" numFmtId="167" xfId="0" applyAlignment="1" applyBorder="1" applyFont="1" applyNumberFormat="1">
      <alignment horizontal="center" vertical="bottom"/>
    </xf>
    <xf borderId="10" fillId="2" fontId="4" numFmtId="167" xfId="0" applyAlignment="1" applyBorder="1" applyFont="1" applyNumberFormat="1">
      <alignment horizontal="right" vertical="bottom"/>
    </xf>
    <xf borderId="11" fillId="2" fontId="4" numFmtId="167" xfId="0" applyAlignment="1" applyBorder="1" applyFont="1" applyNumberFormat="1">
      <alignment horizontal="right" vertical="bottom"/>
    </xf>
    <xf borderId="12" fillId="2" fontId="4" numFmtId="167" xfId="0" applyAlignment="1" applyBorder="1" applyFont="1" applyNumberFormat="1">
      <alignment horizontal="right" vertical="bottom"/>
    </xf>
    <xf borderId="3" fillId="2" fontId="6" numFmtId="0" xfId="0" applyAlignment="1" applyBorder="1" applyFont="1">
      <alignment vertical="bottom"/>
    </xf>
    <xf borderId="4" fillId="2" fontId="3" numFmtId="168" xfId="0" applyAlignment="1" applyBorder="1" applyFont="1" applyNumberFormat="1">
      <alignment readingOrder="0" vertical="bottom"/>
    </xf>
    <xf borderId="3" fillId="2" fontId="4" numFmtId="167" xfId="0" applyAlignment="1" applyBorder="1" applyFont="1" applyNumberFormat="1">
      <alignment horizontal="center" vertical="bottom"/>
    </xf>
    <xf borderId="3" fillId="2" fontId="4" numFmtId="167" xfId="0" applyAlignment="1" applyBorder="1" applyFont="1" applyNumberFormat="1">
      <alignment horizontal="right" vertical="bottom"/>
    </xf>
    <xf borderId="3" fillId="2" fontId="7" numFmtId="0" xfId="0" applyAlignment="1" applyBorder="1" applyFont="1">
      <alignment shrinkToFit="0" vertical="bottom" wrapText="1"/>
    </xf>
    <xf borderId="23" fillId="2" fontId="4" numFmtId="3" xfId="0" applyAlignment="1" applyBorder="1" applyFont="1" applyNumberFormat="1">
      <alignment horizontal="right" vertical="bottom"/>
    </xf>
    <xf borderId="24" fillId="2" fontId="4" numFmtId="0" xfId="0" applyAlignment="1" applyBorder="1" applyFont="1">
      <alignment vertical="bottom"/>
    </xf>
    <xf borderId="4" fillId="0" fontId="4" numFmtId="169" xfId="0" applyAlignment="1" applyBorder="1" applyFont="1" applyNumberFormat="1">
      <alignment horizontal="right" vertical="bottom"/>
    </xf>
    <xf borderId="4" fillId="2" fontId="4" numFmtId="169" xfId="0" applyAlignment="1" applyBorder="1" applyFont="1" applyNumberFormat="1">
      <alignment horizontal="right" vertical="bottom"/>
    </xf>
    <xf borderId="3" fillId="2" fontId="3" numFmtId="169" xfId="0" applyAlignment="1" applyBorder="1" applyFont="1" applyNumberFormat="1">
      <alignment vertical="bottom"/>
    </xf>
    <xf borderId="3" fillId="2" fontId="3" numFmtId="3" xfId="0" applyAlignment="1" applyBorder="1" applyFont="1" applyNumberFormat="1">
      <alignment vertical="bottom"/>
    </xf>
    <xf borderId="3" fillId="3" fontId="5" numFmtId="0" xfId="0" applyAlignment="1" applyBorder="1" applyFill="1" applyFont="1">
      <alignment vertical="bottom"/>
    </xf>
    <xf borderId="4" fillId="0" fontId="4" numFmtId="169" xfId="0" applyAlignment="1" applyBorder="1" applyFont="1" applyNumberFormat="1">
      <alignment horizontal="right" readingOrder="0" vertical="bottom"/>
    </xf>
    <xf borderId="3" fillId="2" fontId="4" numFmtId="169" xfId="0" applyAlignment="1" applyBorder="1" applyFont="1" applyNumberFormat="1">
      <alignment horizontal="right" vertical="bottom"/>
    </xf>
    <xf borderId="3" fillId="2" fontId="3" numFmtId="2" xfId="0" applyAlignment="1" applyBorder="1" applyFont="1" applyNumberFormat="1">
      <alignment vertical="bottom"/>
    </xf>
    <xf borderId="3" fillId="3" fontId="3" numFmtId="0" xfId="0" applyAlignment="1" applyBorder="1" applyFont="1">
      <alignment vertical="bottom"/>
    </xf>
    <xf borderId="3" fillId="2" fontId="4" numFmtId="2" xfId="0" applyAlignment="1" applyBorder="1" applyFont="1" applyNumberFormat="1">
      <alignment horizontal="right" vertical="bottom"/>
    </xf>
    <xf borderId="4" fillId="0" fontId="4" numFmtId="165" xfId="0" applyAlignment="1" applyBorder="1" applyFont="1" applyNumberFormat="1">
      <alignment horizontal="right" vertical="bottom"/>
    </xf>
    <xf borderId="4" fillId="2" fontId="4" numFmtId="15" xfId="0" applyAlignment="1" applyBorder="1" applyFont="1" applyNumberFormat="1">
      <alignment horizontal="right" vertical="bottom"/>
    </xf>
    <xf borderId="4" fillId="2" fontId="4" numFmtId="3" xfId="0" applyAlignment="1" applyBorder="1" applyFont="1" applyNumberFormat="1">
      <alignment horizontal="right" vertical="bottom"/>
    </xf>
    <xf borderId="4" fillId="0" fontId="4" numFmtId="37" xfId="0" applyAlignment="1" applyBorder="1" applyFont="1" applyNumberFormat="1">
      <alignment horizontal="right" readingOrder="0" vertical="bottom"/>
    </xf>
    <xf borderId="3" fillId="2" fontId="3" numFmtId="39" xfId="0" applyAlignment="1" applyBorder="1" applyFont="1" applyNumberFormat="1">
      <alignment vertical="bottom"/>
    </xf>
    <xf borderId="4" fillId="2" fontId="4" numFmtId="165" xfId="0" applyAlignment="1" applyBorder="1" applyFont="1" applyNumberFormat="1">
      <alignment horizontal="right" vertical="bottom"/>
    </xf>
    <xf borderId="0" fillId="0" fontId="3" numFmtId="37" xfId="0" applyAlignment="1" applyFont="1" applyNumberFormat="1">
      <alignment vertical="bottom"/>
    </xf>
    <xf borderId="25" fillId="2" fontId="4" numFmtId="0" xfId="0" applyAlignment="1" applyBorder="1" applyFont="1">
      <alignment vertical="bottom"/>
    </xf>
    <xf borderId="25" fillId="2" fontId="3" numFmtId="0" xfId="0" applyAlignment="1" applyBorder="1" applyFont="1">
      <alignment vertical="bottom"/>
    </xf>
    <xf borderId="25" fillId="2" fontId="3" numFmtId="167" xfId="0" applyAlignment="1" applyBorder="1" applyFont="1" applyNumberFormat="1">
      <alignment vertical="bottom"/>
    </xf>
    <xf borderId="25" fillId="2" fontId="4" numFmtId="167" xfId="0" applyAlignment="1" applyBorder="1" applyFont="1" applyNumberFormat="1">
      <alignment horizontal="right" vertical="bottom"/>
    </xf>
    <xf borderId="3" fillId="3" fontId="4" numFmtId="167" xfId="0" applyAlignment="1" applyBorder="1" applyFont="1" applyNumberFormat="1">
      <alignment horizontal="right" vertical="bottom"/>
    </xf>
    <xf borderId="1" fillId="2" fontId="8" numFmtId="0" xfId="0" applyAlignment="1" applyBorder="1" applyFont="1">
      <alignment vertical="bottom"/>
    </xf>
    <xf borderId="3" fillId="2" fontId="4" numFmtId="170" xfId="0" applyAlignment="1" applyBorder="1" applyFont="1" applyNumberFormat="1">
      <alignment horizontal="right" vertical="bottom"/>
    </xf>
    <xf borderId="3" fillId="4" fontId="5" numFmtId="170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3" fillId="2" fontId="3" numFmtId="170" xfId="0" applyAlignment="1" applyBorder="1" applyFont="1" applyNumberFormat="1">
      <alignment vertical="bottom"/>
    </xf>
    <xf borderId="3" fillId="2" fontId="9" numFmtId="0" xfId="0" applyAlignment="1" applyBorder="1" applyFont="1">
      <alignment vertical="bottom"/>
    </xf>
    <xf borderId="3" fillId="2" fontId="4" numFmtId="165" xfId="0" applyAlignment="1" applyBorder="1" applyFont="1" applyNumberFormat="1">
      <alignment horizontal="right" vertical="bottom"/>
    </xf>
    <xf borderId="26" fillId="2" fontId="4" numFmtId="0" xfId="0" applyAlignment="1" applyBorder="1" applyFont="1">
      <alignment vertical="bottom"/>
    </xf>
    <xf borderId="26" fillId="2" fontId="3" numFmtId="0" xfId="0" applyAlignment="1" applyBorder="1" applyFont="1">
      <alignment vertical="bottom"/>
    </xf>
    <xf borderId="26" fillId="2" fontId="3" numFmtId="167" xfId="0" applyAlignment="1" applyBorder="1" applyFont="1" applyNumberFormat="1">
      <alignment vertical="bottom"/>
    </xf>
    <xf borderId="26" fillId="5" fontId="5" numFmtId="167" xfId="0" applyAlignment="1" applyBorder="1" applyFill="1" applyFont="1" applyNumberFormat="1">
      <alignment horizontal="right" vertical="bottom"/>
    </xf>
    <xf borderId="3" fillId="2" fontId="10" numFmtId="0" xfId="0" applyAlignment="1" applyBorder="1" applyFont="1">
      <alignment vertical="bottom"/>
    </xf>
    <xf borderId="3" fillId="2" fontId="3" numFmtId="0" xfId="0" applyAlignment="1" applyBorder="1" applyFont="1">
      <alignment horizontal="right" vertical="bottom"/>
    </xf>
    <xf borderId="3" fillId="2" fontId="3" numFmtId="2" xfId="0" applyAlignment="1" applyBorder="1" applyFont="1" applyNumberFormat="1">
      <alignment horizontal="right" readingOrder="0" vertical="bottom"/>
    </xf>
    <xf borderId="3" fillId="2" fontId="11" numFmtId="169" xfId="0" applyAlignment="1" applyBorder="1" applyFont="1" applyNumberFormat="1">
      <alignment horizontal="right" vertical="bottom"/>
    </xf>
    <xf borderId="3" fillId="2" fontId="3" numFmtId="40" xfId="0" applyAlignment="1" applyBorder="1" applyFont="1" applyNumberFormat="1">
      <alignment vertical="bottom"/>
    </xf>
    <xf borderId="3" fillId="2" fontId="10" numFmtId="169" xfId="0" applyAlignment="1" applyBorder="1" applyFont="1" applyNumberFormat="1">
      <alignment horizontal="right" vertical="bottom"/>
    </xf>
    <xf borderId="27" fillId="2" fontId="3" numFmtId="0" xfId="0" applyAlignment="1" applyBorder="1" applyFont="1">
      <alignment vertical="bottom"/>
    </xf>
    <xf borderId="3" fillId="2" fontId="12" numFmtId="0" xfId="0" applyAlignment="1" applyBorder="1" applyFont="1">
      <alignment horizontal="center" vertical="bottom"/>
    </xf>
    <xf borderId="3" fillId="2" fontId="12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1.63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3"/>
      <c r="B2" s="3"/>
      <c r="C2" s="3"/>
      <c r="D2" s="3"/>
      <c r="E2" s="3"/>
      <c r="F2" s="3"/>
      <c r="G2" s="3"/>
      <c r="H2" s="3"/>
      <c r="I2" s="4"/>
      <c r="J2" s="3"/>
    </row>
    <row r="3" ht="15.75" customHeight="1">
      <c r="A3" s="5" t="s">
        <v>1</v>
      </c>
      <c r="B3" s="3"/>
      <c r="C3" s="3"/>
      <c r="D3" s="6" t="s">
        <v>2</v>
      </c>
      <c r="E3" s="3"/>
      <c r="F3" s="3"/>
      <c r="G3" s="3"/>
      <c r="H3" s="5" t="s">
        <v>3</v>
      </c>
      <c r="I3" s="3">
        <v>5.01200009664E11</v>
      </c>
      <c r="J3" s="3"/>
    </row>
    <row r="4" ht="15.75" customHeight="1">
      <c r="A4" s="3"/>
      <c r="B4" s="3"/>
      <c r="C4" s="3"/>
      <c r="D4" s="3"/>
      <c r="E4" s="3"/>
      <c r="F4" s="3"/>
      <c r="G4" s="3"/>
      <c r="H4" s="5" t="s">
        <v>4</v>
      </c>
      <c r="I4" s="7" t="s">
        <v>5</v>
      </c>
      <c r="J4" s="3"/>
    </row>
    <row r="5" ht="15.75" customHeight="1">
      <c r="A5" s="5" t="s">
        <v>6</v>
      </c>
      <c r="B5" s="3"/>
      <c r="C5" s="3"/>
      <c r="D5" s="3"/>
      <c r="E5" s="8">
        <v>45332.0</v>
      </c>
      <c r="F5" s="3"/>
      <c r="G5" s="3"/>
      <c r="H5" s="3"/>
      <c r="I5" s="3"/>
      <c r="J5" s="3"/>
    </row>
    <row r="6" ht="15.75" customHeight="1">
      <c r="A6" s="3"/>
      <c r="B6" s="3"/>
      <c r="C6" s="3"/>
      <c r="D6" s="3"/>
      <c r="E6" s="9"/>
      <c r="F6" s="3"/>
      <c r="G6" s="3"/>
      <c r="H6" s="3"/>
      <c r="I6" s="3"/>
      <c r="J6" s="3"/>
    </row>
    <row r="7" ht="15.75" customHeight="1">
      <c r="A7" s="5" t="s">
        <v>7</v>
      </c>
      <c r="B7" s="3"/>
      <c r="C7" s="3"/>
      <c r="D7" s="3"/>
      <c r="E7" s="10">
        <v>46024.0</v>
      </c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11">
        <f>D9*360</f>
        <v>360</v>
      </c>
      <c r="G8" s="12">
        <f>C17-F8</f>
        <v>322</v>
      </c>
      <c r="H8" s="3"/>
      <c r="I8" s="3"/>
      <c r="J8" s="3"/>
    </row>
    <row r="9" ht="15.75" customHeight="1">
      <c r="A9" s="5" t="s">
        <v>8</v>
      </c>
      <c r="B9" s="3"/>
      <c r="C9" s="3"/>
      <c r="D9" s="13">
        <f>ROUND(C17/360-0.49,0)</f>
        <v>1</v>
      </c>
      <c r="E9" s="14" t="s">
        <v>9</v>
      </c>
      <c r="F9" s="15">
        <f>ROUND(G8/30-0.49,0)</f>
        <v>10</v>
      </c>
      <c r="G9" s="14" t="s">
        <v>10</v>
      </c>
      <c r="H9" s="16">
        <f>C17-F8-F9*30</f>
        <v>22</v>
      </c>
      <c r="I9" s="17" t="s">
        <v>11</v>
      </c>
      <c r="J9" s="3"/>
    </row>
    <row r="10" ht="15.75" customHeight="1">
      <c r="A10" s="3"/>
      <c r="B10" s="3"/>
      <c r="C10" s="3"/>
      <c r="D10" s="18"/>
      <c r="E10" s="19" t="s">
        <v>12</v>
      </c>
      <c r="F10" s="3"/>
      <c r="G10" s="20" t="s">
        <v>13</v>
      </c>
      <c r="H10" s="21" t="s">
        <v>14</v>
      </c>
      <c r="I10" s="22" t="s">
        <v>15</v>
      </c>
      <c r="J10" s="3"/>
    </row>
    <row r="11" ht="15.75" customHeight="1">
      <c r="A11" s="5" t="s">
        <v>16</v>
      </c>
      <c r="B11" s="3"/>
      <c r="C11" s="3"/>
      <c r="D11" s="23" t="s">
        <v>17</v>
      </c>
      <c r="E11" s="24">
        <v>30000.0</v>
      </c>
      <c r="F11" s="25"/>
      <c r="G11" s="26">
        <f>+D60</f>
        <v>30000</v>
      </c>
      <c r="H11" s="27">
        <f>D60*1.16666666666667</f>
        <v>35000</v>
      </c>
      <c r="I11" s="28">
        <f>E13</f>
        <v>35000</v>
      </c>
      <c r="J11" s="3"/>
    </row>
    <row r="12" ht="15.75" customHeight="1">
      <c r="A12" s="3"/>
      <c r="B12" s="3"/>
      <c r="C12" s="11" t="s">
        <v>18</v>
      </c>
      <c r="D12" s="29"/>
      <c r="E12" s="30" t="s">
        <v>19</v>
      </c>
      <c r="F12" s="25"/>
      <c r="G12" s="31" t="s">
        <v>20</v>
      </c>
      <c r="H12" s="32" t="s">
        <v>20</v>
      </c>
      <c r="I12" s="33" t="s">
        <v>21</v>
      </c>
      <c r="J12" s="3"/>
    </row>
    <row r="13" ht="15.75" customHeight="1">
      <c r="A13" s="5" t="s">
        <v>22</v>
      </c>
      <c r="B13" s="3"/>
      <c r="C13" s="3"/>
      <c r="D13" s="23" t="s">
        <v>17</v>
      </c>
      <c r="E13" s="28">
        <f>ROUND(D60*1.16666666666667,2)+H60</f>
        <v>35000</v>
      </c>
      <c r="F13" s="25"/>
      <c r="G13" s="34">
        <f t="shared" ref="G13:H13" si="1">G11/30</f>
        <v>1000</v>
      </c>
      <c r="H13" s="35">
        <f t="shared" si="1"/>
        <v>1166.666667</v>
      </c>
      <c r="I13" s="36">
        <f>+I11/30</f>
        <v>1166.666667</v>
      </c>
      <c r="J13" s="3"/>
    </row>
    <row r="14" ht="15.75" customHeight="1">
      <c r="A14" s="37" t="s">
        <v>23</v>
      </c>
      <c r="B14" s="3"/>
      <c r="C14" s="3"/>
      <c r="D14" s="3"/>
      <c r="E14" s="25"/>
      <c r="F14" s="25"/>
      <c r="G14" s="25"/>
      <c r="H14" s="25"/>
      <c r="I14" s="25"/>
      <c r="J14" s="3"/>
    </row>
    <row r="15" ht="15.75" customHeight="1">
      <c r="A15" s="3"/>
      <c r="B15" s="3"/>
      <c r="C15" s="3"/>
      <c r="D15" s="3"/>
      <c r="E15" s="25"/>
      <c r="F15" s="25"/>
      <c r="G15" s="25"/>
      <c r="H15" s="25"/>
      <c r="I15" s="25"/>
      <c r="J15" s="3"/>
    </row>
    <row r="16" ht="15.75" customHeight="1">
      <c r="A16" s="5" t="s">
        <v>24</v>
      </c>
      <c r="B16" s="3"/>
      <c r="C16" s="3"/>
      <c r="D16" s="38">
        <v>30.0</v>
      </c>
      <c r="E16" s="39" t="s">
        <v>25</v>
      </c>
      <c r="F16" s="39" t="s">
        <v>26</v>
      </c>
      <c r="G16" s="40">
        <f>+I13</f>
        <v>1166.666667</v>
      </c>
      <c r="H16" s="25"/>
      <c r="I16" s="40">
        <f>G16*D16</f>
        <v>35000</v>
      </c>
      <c r="J16" s="41" t="s">
        <v>27</v>
      </c>
    </row>
    <row r="17" ht="15.75" customHeight="1">
      <c r="A17" s="3"/>
      <c r="B17" s="3"/>
      <c r="C17" s="42">
        <f>(YEAR(E7)-YEAR(E5))*360 + (MONTH(E7)-MONTH(E5))*30 + (DAY(E7)-DAY(E5))
</f>
        <v>682</v>
      </c>
      <c r="D17" s="43" t="s">
        <v>28</v>
      </c>
      <c r="E17" s="25"/>
      <c r="F17" s="25"/>
      <c r="G17" s="25"/>
      <c r="H17" s="25"/>
      <c r="I17" s="25"/>
      <c r="J17" s="3"/>
    </row>
    <row r="18" ht="15.75" customHeight="1">
      <c r="A18" s="5" t="s">
        <v>29</v>
      </c>
      <c r="B18" s="3"/>
      <c r="C18" s="3"/>
      <c r="D18" s="44">
        <f>(F8*30)/360</f>
        <v>30</v>
      </c>
      <c r="E18" s="39" t="s">
        <v>25</v>
      </c>
      <c r="F18" s="39" t="s">
        <v>26</v>
      </c>
      <c r="G18" s="40">
        <f>+I13</f>
        <v>1166.666667</v>
      </c>
      <c r="H18" s="25"/>
      <c r="I18" s="40">
        <f t="shared" ref="I18:I19" si="2">G18*D18</f>
        <v>35000</v>
      </c>
      <c r="J18" s="3"/>
    </row>
    <row r="19" ht="15.75" customHeight="1">
      <c r="A19" s="5" t="s">
        <v>30</v>
      </c>
      <c r="B19" s="3"/>
      <c r="C19" s="3"/>
      <c r="D19" s="45">
        <f>(G8*30)/360</f>
        <v>26.83333333</v>
      </c>
      <c r="E19" s="39" t="s">
        <v>25</v>
      </c>
      <c r="F19" s="39" t="s">
        <v>26</v>
      </c>
      <c r="G19" s="40">
        <f>+I13</f>
        <v>1166.666667</v>
      </c>
      <c r="H19" s="25"/>
      <c r="I19" s="40">
        <f t="shared" si="2"/>
        <v>31305.55556</v>
      </c>
      <c r="J19" s="3"/>
    </row>
    <row r="20" ht="15.75" customHeight="1">
      <c r="A20" s="3"/>
      <c r="B20" s="3"/>
      <c r="C20" s="3"/>
      <c r="D20" s="46"/>
      <c r="E20" s="25"/>
      <c r="F20" s="25"/>
      <c r="G20" s="25"/>
      <c r="H20" s="25"/>
      <c r="I20" s="25"/>
      <c r="J20" s="3"/>
    </row>
    <row r="21" ht="15.75" customHeight="1">
      <c r="A21" s="47"/>
      <c r="B21" s="3"/>
      <c r="C21" s="3"/>
      <c r="D21" s="3"/>
      <c r="E21" s="25"/>
      <c r="F21" s="25"/>
      <c r="G21" s="25"/>
      <c r="H21" s="25"/>
      <c r="I21" s="25"/>
      <c r="J21" s="3"/>
    </row>
    <row r="22" ht="15.75" customHeight="1">
      <c r="A22" s="48" t="s">
        <v>31</v>
      </c>
      <c r="B22" s="3"/>
      <c r="C22" s="49">
        <f>D22</f>
        <v>10</v>
      </c>
      <c r="D22" s="50">
        <f>IF(
   DATEDIF(E5,E7,"Y")&lt;=0,
   0,
   IF(
      DATEDIF(E5,E7,"Y")=1,
      10,
      IF(
         DATEDIF(E5,E7,"Y")=2,
         22,
         IF(
            DATEDIF(E5,E7,"Y")=3,
            37,
            37 + (DATEDIF(E5,E7,"Y")-3)*20
         )
      )
   )
)
</f>
        <v>10</v>
      </c>
      <c r="E22" s="39" t="s">
        <v>25</v>
      </c>
      <c r="F22" s="39" t="s">
        <v>26</v>
      </c>
      <c r="G22" s="40">
        <f>+H13</f>
        <v>1166.666667</v>
      </c>
      <c r="H22" s="25"/>
      <c r="I22" s="40">
        <f>+G22*D22</f>
        <v>11666.66667</v>
      </c>
      <c r="J22" s="3"/>
    </row>
    <row r="23" ht="15.75" customHeight="1">
      <c r="A23" s="3"/>
      <c r="B23" s="3"/>
      <c r="C23" s="3"/>
      <c r="D23" s="51"/>
      <c r="E23" s="25"/>
      <c r="F23" s="25"/>
      <c r="G23" s="25"/>
      <c r="H23" s="25"/>
      <c r="I23" s="25"/>
      <c r="J23" s="3"/>
    </row>
    <row r="24" ht="15.75" customHeight="1">
      <c r="A24" s="48" t="s">
        <v>32</v>
      </c>
      <c r="B24" s="52"/>
      <c r="C24" s="3"/>
      <c r="D24" s="53">
        <f> C25/360 * A26
</f>
        <v>10.73333333</v>
      </c>
      <c r="E24" s="39" t="s">
        <v>25</v>
      </c>
      <c r="F24" s="39" t="s">
        <v>26</v>
      </c>
      <c r="G24" s="40">
        <f>H13</f>
        <v>1166.666667</v>
      </c>
      <c r="H24" s="25"/>
      <c r="I24" s="40">
        <f>D24*G24</f>
        <v>12522.22222</v>
      </c>
      <c r="J24" s="3"/>
    </row>
    <row r="25" ht="15.75" customHeight="1">
      <c r="A25" s="54">
        <f>DATE(YEAR(TODAY()), MONTH(E5), DAY(E5)) - 360 * (DATE(YEAR(TODAY()), MONTH(E5), DAY(E5)) &gt; TODAY())</f>
        <v>45698</v>
      </c>
      <c r="B25" s="55">
        <f>E7</f>
        <v>46024</v>
      </c>
      <c r="C25" s="56">
        <f>(
   (YEAR(E7)-YEAR(E5))*360 +
   (MONTH(E7)-MONTH(E5))*30 +
   (DAY(E7)-DAY(E5))
 ) - DATEDIF(E5,E7,"Y")*360
</f>
        <v>322</v>
      </c>
      <c r="D25" s="3"/>
      <c r="E25" s="25"/>
      <c r="F25" s="25"/>
      <c r="G25" s="25"/>
      <c r="H25" s="25"/>
      <c r="I25" s="25"/>
      <c r="J25" s="3"/>
    </row>
    <row r="26" ht="15.75" customHeight="1">
      <c r="A26" s="57">
        <f>IF(
   DATEDIF(E5,E7,"Y")&lt;1,
   10,
   IF(
      DATEDIF(E5,E7,"Y")=1,
      12,
      IF(
         DATEDIF(E5,E7,"Y")=2,
         15,
         20
      )
   )
)
</f>
        <v>12</v>
      </c>
      <c r="B26" s="58"/>
      <c r="C26" s="3"/>
      <c r="D26" s="3"/>
      <c r="E26" s="25"/>
      <c r="F26" s="25"/>
      <c r="G26" s="25"/>
      <c r="H26" s="25"/>
      <c r="I26" s="25"/>
      <c r="J26" s="3"/>
    </row>
    <row r="27" ht="15.75" customHeight="1">
      <c r="A27" s="48" t="s">
        <v>33</v>
      </c>
      <c r="B27" s="52"/>
      <c r="C27" s="3"/>
      <c r="D27" s="50">
        <f>ROUND(C28*30/360,2)</f>
        <v>0.17</v>
      </c>
      <c r="E27" s="39" t="s">
        <v>25</v>
      </c>
      <c r="F27" s="39" t="s">
        <v>26</v>
      </c>
      <c r="G27" s="40">
        <f>+G13</f>
        <v>1000</v>
      </c>
      <c r="H27" s="25"/>
      <c r="I27" s="40">
        <f>G27*D27</f>
        <v>170</v>
      </c>
      <c r="J27" s="3"/>
    </row>
    <row r="28" ht="15.75" customHeight="1">
      <c r="A28" s="54">
        <f>DATE(YEAR(E7), 1, 1)</f>
        <v>46023</v>
      </c>
      <c r="B28" s="59">
        <f>+E7</f>
        <v>46024</v>
      </c>
      <c r="C28" s="56">
        <f>DAYS360(A28,B28)+1</f>
        <v>2</v>
      </c>
      <c r="D28" s="51"/>
      <c r="E28" s="25"/>
      <c r="F28" s="25"/>
      <c r="G28" s="25"/>
      <c r="H28" s="25"/>
      <c r="I28" s="25"/>
      <c r="J28" s="3"/>
    </row>
    <row r="29" ht="15.75" customHeight="1">
      <c r="A29" s="60"/>
      <c r="B29" s="3"/>
      <c r="C29" s="3"/>
      <c r="D29" s="3"/>
      <c r="E29" s="25"/>
      <c r="F29" s="25"/>
      <c r="G29" s="25"/>
      <c r="H29" s="25"/>
      <c r="I29" s="25"/>
      <c r="J29" s="3"/>
    </row>
    <row r="30" ht="15.75" customHeight="1">
      <c r="A30" s="48" t="s">
        <v>34</v>
      </c>
      <c r="B30" s="52"/>
      <c r="C30" s="3"/>
      <c r="D30" s="50">
        <f>ROUND(C31*30/360,2)</f>
        <v>15.17</v>
      </c>
      <c r="E30" s="39" t="s">
        <v>25</v>
      </c>
      <c r="F30" s="39" t="s">
        <v>26</v>
      </c>
      <c r="G30" s="40">
        <f>+G13</f>
        <v>1000</v>
      </c>
      <c r="H30" s="25"/>
      <c r="I30" s="40">
        <f>G30*D30</f>
        <v>15170</v>
      </c>
      <c r="J30" s="3"/>
    </row>
    <row r="31" ht="15.75" customHeight="1">
      <c r="A31" s="54">
        <f>DATE(YEAR(TODAY()), 7, 1)</f>
        <v>45839</v>
      </c>
      <c r="B31" s="55">
        <f>+E7</f>
        <v>46024</v>
      </c>
      <c r="C31" s="56">
        <f>DAYS360(A31,B31)+1</f>
        <v>182</v>
      </c>
      <c r="D31" s="46"/>
      <c r="E31" s="25"/>
      <c r="F31" s="25"/>
      <c r="G31" s="25"/>
      <c r="H31" s="25"/>
      <c r="I31" s="25"/>
      <c r="J31" s="3"/>
    </row>
    <row r="32" ht="15.75" customHeight="1">
      <c r="A32" s="61" t="s">
        <v>20</v>
      </c>
      <c r="B32" s="62"/>
      <c r="C32" s="62"/>
      <c r="D32" s="62"/>
      <c r="E32" s="63"/>
      <c r="F32" s="63"/>
      <c r="G32" s="63"/>
      <c r="H32" s="63"/>
      <c r="I32" s="64">
        <f>SUM(I16:I30)</f>
        <v>140834.4444</v>
      </c>
      <c r="J32" s="3"/>
    </row>
    <row r="33" ht="15.75" customHeight="1">
      <c r="A33" s="3"/>
      <c r="B33" s="3"/>
      <c r="C33" s="3"/>
      <c r="D33" s="3"/>
      <c r="E33" s="25"/>
      <c r="F33" s="25"/>
      <c r="G33" s="25"/>
      <c r="H33" s="25"/>
      <c r="I33" s="25"/>
      <c r="J33" s="3"/>
    </row>
    <row r="34" ht="15.75" customHeight="1">
      <c r="A34" s="5" t="s">
        <v>35</v>
      </c>
      <c r="B34" s="3"/>
      <c r="C34" s="3"/>
      <c r="D34" s="3"/>
      <c r="E34" s="25"/>
      <c r="F34" s="25"/>
      <c r="G34" s="25"/>
      <c r="H34" s="40" t="s">
        <v>17</v>
      </c>
      <c r="I34" s="65">
        <f>SUM(I16:I30)</f>
        <v>140834.4444</v>
      </c>
      <c r="J34" s="3"/>
    </row>
    <row r="35" ht="15.75" customHeight="1">
      <c r="A35" s="3"/>
      <c r="B35" s="3"/>
      <c r="C35" s="3"/>
      <c r="D35" s="3"/>
      <c r="E35" s="25"/>
      <c r="F35" s="25"/>
      <c r="G35" s="25"/>
      <c r="H35" s="25"/>
      <c r="I35" s="25"/>
      <c r="J35" s="3"/>
    </row>
    <row r="36" ht="15.75" customHeight="1">
      <c r="A36" s="66" t="s">
        <v>36</v>
      </c>
      <c r="B36" s="2"/>
      <c r="C36" s="3"/>
      <c r="D36" s="3"/>
      <c r="E36" s="25"/>
      <c r="F36" s="25"/>
      <c r="G36" s="25"/>
      <c r="H36" s="25"/>
      <c r="I36" s="25"/>
      <c r="J36" s="3"/>
    </row>
    <row r="37" ht="15.75" customHeight="1">
      <c r="A37" s="3"/>
      <c r="B37" s="5" t="s">
        <v>37</v>
      </c>
      <c r="C37" s="3"/>
      <c r="D37" s="3"/>
      <c r="E37" s="25"/>
      <c r="F37" s="25"/>
      <c r="G37" s="25"/>
      <c r="H37" s="25"/>
      <c r="I37" s="40">
        <v>0.0</v>
      </c>
      <c r="J37" s="3"/>
    </row>
    <row r="38" ht="15.75" customHeight="1">
      <c r="A38" s="3"/>
      <c r="B38" s="3"/>
      <c r="C38" s="3"/>
      <c r="D38" s="3"/>
      <c r="E38" s="25"/>
      <c r="F38" s="25"/>
      <c r="G38" s="25"/>
      <c r="H38" s="25"/>
      <c r="I38" s="25"/>
      <c r="J38" s="3"/>
    </row>
    <row r="39" ht="15.75" customHeight="1">
      <c r="A39" s="3"/>
      <c r="B39" s="3"/>
      <c r="C39" s="3"/>
      <c r="D39" s="3"/>
      <c r="E39" s="25"/>
      <c r="F39" s="25"/>
      <c r="G39" s="25"/>
      <c r="H39" s="25"/>
      <c r="I39" s="25"/>
      <c r="J39" s="3"/>
    </row>
    <row r="40" ht="15.75" customHeight="1">
      <c r="A40" s="66" t="s">
        <v>38</v>
      </c>
      <c r="B40" s="2"/>
      <c r="C40" s="3"/>
      <c r="D40" s="3"/>
      <c r="E40" s="25"/>
      <c r="F40" s="25"/>
      <c r="G40" s="25"/>
      <c r="H40" s="25"/>
      <c r="I40" s="25"/>
      <c r="J40" s="3"/>
    </row>
    <row r="41" ht="15.75" customHeight="1">
      <c r="A41" s="3"/>
      <c r="B41" s="5" t="s">
        <v>39</v>
      </c>
      <c r="C41" s="3"/>
      <c r="D41" s="3"/>
      <c r="E41" s="25"/>
      <c r="F41" s="25"/>
      <c r="G41" s="25"/>
      <c r="H41" s="25"/>
      <c r="I41" s="67">
        <v>0.0</v>
      </c>
      <c r="J41" s="3"/>
    </row>
    <row r="42" ht="15.75" customHeight="1">
      <c r="A42" s="3"/>
      <c r="B42" s="5" t="s">
        <v>40</v>
      </c>
      <c r="C42" s="3"/>
      <c r="D42" s="3"/>
      <c r="E42" s="25"/>
      <c r="F42" s="25"/>
      <c r="G42" s="25"/>
      <c r="H42" s="25"/>
      <c r="I42" s="68"/>
      <c r="J42" s="41" t="s">
        <v>41</v>
      </c>
    </row>
    <row r="43" ht="15.75" customHeight="1">
      <c r="A43" s="3"/>
      <c r="B43" s="3"/>
      <c r="C43" s="3"/>
      <c r="D43" s="69"/>
      <c r="E43" s="25"/>
      <c r="F43" s="25"/>
      <c r="G43" s="25"/>
      <c r="H43" s="25"/>
      <c r="I43" s="70"/>
      <c r="J43" s="3"/>
    </row>
    <row r="44" ht="15.75" customHeight="1">
      <c r="A44" s="71" t="s">
        <v>42</v>
      </c>
      <c r="B44" s="3"/>
      <c r="C44" s="3"/>
      <c r="D44" s="3"/>
      <c r="E44" s="25"/>
      <c r="F44" s="25"/>
      <c r="G44" s="25"/>
      <c r="H44" s="25"/>
      <c r="I44" s="25"/>
      <c r="J44" s="3"/>
    </row>
    <row r="45" ht="15.75" customHeight="1">
      <c r="A45" s="3"/>
      <c r="B45" s="3"/>
      <c r="C45" s="3"/>
      <c r="D45" s="3"/>
      <c r="E45" s="25"/>
      <c r="F45" s="25"/>
      <c r="G45" s="25"/>
      <c r="H45" s="25"/>
      <c r="I45" s="25"/>
      <c r="J45" s="3"/>
    </row>
    <row r="46" ht="15.75" customHeight="1">
      <c r="A46" s="5" t="s">
        <v>43</v>
      </c>
      <c r="B46" s="3"/>
      <c r="C46" s="72">
        <f>E7</f>
        <v>46024</v>
      </c>
      <c r="D46" s="3"/>
      <c r="E46" s="25"/>
      <c r="F46" s="25"/>
      <c r="G46" s="25"/>
      <c r="H46" s="40" t="s">
        <v>17</v>
      </c>
      <c r="I46" s="40">
        <f>I34+I37-I42-I41</f>
        <v>140834.4444</v>
      </c>
      <c r="J46" s="3"/>
    </row>
    <row r="47" ht="15.75" customHeight="1">
      <c r="A47" s="3"/>
      <c r="B47" s="3"/>
      <c r="C47" s="9"/>
      <c r="D47" s="3"/>
      <c r="E47" s="25"/>
      <c r="F47" s="25"/>
      <c r="G47" s="25"/>
      <c r="H47" s="25"/>
      <c r="I47" s="25"/>
      <c r="J47" s="3"/>
    </row>
    <row r="48" ht="15.75" customHeight="1">
      <c r="A48" s="3"/>
      <c r="B48" s="3"/>
      <c r="C48" s="3"/>
      <c r="D48" s="3"/>
      <c r="E48" s="25"/>
      <c r="F48" s="25"/>
      <c r="G48" s="25"/>
      <c r="H48" s="25"/>
      <c r="I48" s="25"/>
      <c r="J48" s="3"/>
    </row>
    <row r="49" ht="15.75" customHeight="1">
      <c r="A49" s="73" t="s">
        <v>20</v>
      </c>
      <c r="B49" s="74"/>
      <c r="C49" s="74"/>
      <c r="D49" s="74"/>
      <c r="E49" s="75"/>
      <c r="F49" s="75"/>
      <c r="G49" s="75"/>
      <c r="H49" s="40" t="s">
        <v>17</v>
      </c>
      <c r="I49" s="76">
        <f>SUM(I46:I48)</f>
        <v>140834.4444</v>
      </c>
      <c r="J49" s="3"/>
    </row>
    <row r="50" ht="15.75" customHeight="1">
      <c r="A50" s="3"/>
      <c r="B50" s="3"/>
      <c r="C50" s="3"/>
      <c r="D50" s="3"/>
      <c r="E50" s="46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46"/>
      <c r="F52" s="3"/>
      <c r="G52" s="3"/>
      <c r="H52" s="3"/>
      <c r="I52" s="3"/>
      <c r="J52" s="3"/>
    </row>
    <row r="53" ht="15.75" customHeight="1">
      <c r="A53" s="77" t="s">
        <v>44</v>
      </c>
      <c r="B53" s="3"/>
      <c r="C53" s="3"/>
      <c r="D53" s="3"/>
      <c r="E53" s="77" t="s">
        <v>45</v>
      </c>
      <c r="F53" s="3"/>
      <c r="G53" s="3"/>
      <c r="H53" s="3"/>
      <c r="I53" s="3"/>
      <c r="J53" s="3"/>
    </row>
    <row r="54" ht="15.75" customHeight="1">
      <c r="A54" s="3" t="str">
        <f>TEXT(EDATE($E$7, -6), "mmmm")
</f>
        <v>julio</v>
      </c>
      <c r="B54" s="78">
        <f>YEAR(EDATE($E$7, -6))</f>
        <v>2025</v>
      </c>
      <c r="C54" s="79">
        <v>30000.0</v>
      </c>
      <c r="D54" s="3"/>
      <c r="E54" s="3" t="str">
        <f>TEXT(EDATE($E$7, -6), "mmmm")
</f>
        <v>julio</v>
      </c>
      <c r="F54" s="78">
        <f>YEAR(EDATE($E$7, -6))</f>
        <v>2025</v>
      </c>
      <c r="G54" s="80">
        <v>0.0</v>
      </c>
      <c r="H54" s="3"/>
      <c r="I54" s="3"/>
      <c r="J54" s="3"/>
    </row>
    <row r="55" ht="15.75" customHeight="1">
      <c r="A55" s="3" t="str">
        <f>TEXT(EDATE($E$7, -5), "mmmm")
</f>
        <v>agosto</v>
      </c>
      <c r="B55" s="78">
        <f>YEAR(EDATE($E$7, -5))</f>
        <v>2025</v>
      </c>
      <c r="C55" s="79">
        <v>30000.0</v>
      </c>
      <c r="D55" s="3"/>
      <c r="E55" s="3" t="str">
        <f>TEXT(EDATE($E$7, -5), "mmmm")
</f>
        <v>agosto</v>
      </c>
      <c r="F55" s="78">
        <f>YEAR(EDATE($E$7, -5))</f>
        <v>2025</v>
      </c>
      <c r="G55" s="80">
        <v>0.0</v>
      </c>
      <c r="H55" s="3"/>
      <c r="I55" s="3"/>
      <c r="J55" s="81"/>
    </row>
    <row r="56" ht="15.75" customHeight="1">
      <c r="A56" s="3" t="str">
        <f>TEXT(EDATE($E$7, -4), "mmmm")
</f>
        <v>septiembre</v>
      </c>
      <c r="B56" s="78">
        <f>YEAR(EDATE($E$7, -4))</f>
        <v>2025</v>
      </c>
      <c r="C56" s="79">
        <v>30000.0</v>
      </c>
      <c r="D56" s="3"/>
      <c r="E56" s="3" t="str">
        <f>TEXT(EDATE($E$7, -4), "mmmm")
</f>
        <v>septiembre</v>
      </c>
      <c r="F56" s="78">
        <f>YEAR(EDATE($E$7, -4))</f>
        <v>2025</v>
      </c>
      <c r="G56" s="80">
        <v>0.0</v>
      </c>
      <c r="H56" s="3"/>
      <c r="I56" s="3"/>
      <c r="J56" s="81"/>
    </row>
    <row r="57" ht="15.75" customHeight="1">
      <c r="A57" s="3" t="str">
        <f>TEXT(EDATE($E$7, -3), "mmmm")
</f>
        <v>octubre</v>
      </c>
      <c r="B57" s="78">
        <f>YEAR(EDATE($E$7, -3))</f>
        <v>2025</v>
      </c>
      <c r="C57" s="79">
        <v>30000.0</v>
      </c>
      <c r="D57" s="3"/>
      <c r="E57" s="3" t="str">
        <f>TEXT(EDATE($E$7, -3), "mmmm")
</f>
        <v>octubre</v>
      </c>
      <c r="F57" s="78">
        <f>YEAR(EDATE($E$7, -3))</f>
        <v>2025</v>
      </c>
      <c r="G57" s="80">
        <v>0.0</v>
      </c>
      <c r="H57" s="3"/>
      <c r="I57" s="3"/>
      <c r="J57" s="81"/>
    </row>
    <row r="58" ht="15.75" customHeight="1">
      <c r="A58" s="3" t="str">
        <f>TEXT(EDATE($E$7, -2), "mmmm")
</f>
        <v>noviembre</v>
      </c>
      <c r="B58" s="78">
        <f>YEAR(EDATE($E$7, -2))</f>
        <v>2025</v>
      </c>
      <c r="C58" s="79">
        <v>30000.0</v>
      </c>
      <c r="D58" s="3"/>
      <c r="E58" s="3" t="str">
        <f>TEXT(EDATE($E$7, -2), "mmmm")
</f>
        <v>noviembre</v>
      </c>
      <c r="F58" s="78">
        <f>YEAR(EDATE($E$7, -2))</f>
        <v>2025</v>
      </c>
      <c r="G58" s="80">
        <v>0.0</v>
      </c>
      <c r="H58" s="3"/>
      <c r="I58" s="3"/>
      <c r="J58" s="3"/>
    </row>
    <row r="59" ht="15.75" customHeight="1">
      <c r="A59" s="3" t="str">
        <f>TEXT(EDATE($E$7, -1), "mmmm")
</f>
        <v>diciembre</v>
      </c>
      <c r="B59" s="78">
        <f>YEAR(EDATE($E$7, -1))</f>
        <v>2025</v>
      </c>
      <c r="C59" s="79">
        <v>30000.0</v>
      </c>
      <c r="D59" s="3"/>
      <c r="E59" s="3" t="str">
        <f>TEXT(EDATE($E$7, -1), "mmmm")
</f>
        <v>diciembre</v>
      </c>
      <c r="F59" s="78">
        <f>YEAR(EDATE($E$7, -1))</f>
        <v>2025</v>
      </c>
      <c r="G59" s="80">
        <v>0.0</v>
      </c>
      <c r="H59" s="3"/>
      <c r="I59" s="3"/>
      <c r="J59" s="3"/>
    </row>
    <row r="60" ht="15.75" customHeight="1">
      <c r="A60" s="77" t="s">
        <v>46</v>
      </c>
      <c r="B60" s="3"/>
      <c r="C60" s="82">
        <f>SUM(C54:C59)</f>
        <v>180000</v>
      </c>
      <c r="D60" s="82">
        <f>(C60/180)*30</f>
        <v>30000</v>
      </c>
      <c r="E60" s="77" t="s">
        <v>46</v>
      </c>
      <c r="F60" s="3"/>
      <c r="G60" s="82">
        <f>SUM(G54:G59)</f>
        <v>0</v>
      </c>
      <c r="H60" s="82">
        <f>(G60/180)*30</f>
        <v>0</v>
      </c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83"/>
      <c r="B65" s="83"/>
      <c r="C65" s="3"/>
      <c r="D65" s="83"/>
      <c r="E65" s="83"/>
      <c r="F65" s="3"/>
      <c r="G65" s="83"/>
      <c r="H65" s="83"/>
      <c r="I65" s="3"/>
      <c r="J65" s="3"/>
    </row>
    <row r="66" ht="15.75" customHeight="1">
      <c r="A66" s="84" t="s">
        <v>47</v>
      </c>
      <c r="B66" s="3"/>
      <c r="C66" s="3"/>
      <c r="D66" s="85" t="s">
        <v>48</v>
      </c>
      <c r="E66" s="3"/>
      <c r="F66" s="3"/>
      <c r="G66" s="85" t="s">
        <v>49</v>
      </c>
      <c r="H66" s="3"/>
      <c r="I66" s="3"/>
      <c r="J66" s="3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40:B40"/>
    <mergeCell ref="A36:B36"/>
  </mergeCells>
  <conditionalFormatting sqref="E5">
    <cfRule type="notContainsBlanks" dxfId="0" priority="1">
      <formula>LEN(TRIM(E5))&gt;0</formula>
    </cfRule>
  </conditionalFormatting>
  <printOptions gridLines="1" horizontalCentered="1"/>
  <pageMargins bottom="0.75" footer="0.0" header="0.0" left="0.7" right="0.7" top="0.75"/>
  <pageSetup fitToHeight="0" paperSize="9" orientation="portrait" pageOrder="overThenDown"/>
  <drawing r:id="rId2"/>
  <legacyDrawing r:id="rId3"/>
</worksheet>
</file>